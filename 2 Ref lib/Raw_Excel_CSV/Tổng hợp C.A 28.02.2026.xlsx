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D:\1 Thạc sĩ Hóa Phân Tích\ĐỀ TÀI_LVTN\0 MỚI đang làm lại\BẢN GỐC_FULL INFO\"/>
    </mc:Choice>
  </mc:AlternateContent>
  <xr:revisionPtr revIDLastSave="0" documentId="13_ncr:1_{3E39523F-C1A6-4AA2-A328-A47DD143F6D3}" xr6:coauthVersionLast="47" xr6:coauthVersionMax="47" xr10:uidLastSave="{00000000-0000-0000-0000-000000000000}"/>
  <bookViews>
    <workbookView xWindow="-108" yWindow="-108" windowWidth="23256" windowHeight="12456" activeTab="3" xr2:uid="{00000000-000D-0000-FFFF-FFFF00000000}"/>
  </bookViews>
  <sheets>
    <sheet name="1.1. Core Objective &amp; Research" sheetId="2" r:id="rId1"/>
    <sheet name="2.1 Sơ bộ Quy trình" sheetId="3" r:id="rId2"/>
    <sheet name="Phân tích đặc trưng" sheetId="1" r:id="rId3"/>
    <sheet name="Tính toán doping" sheetId="4" r:id="rId4"/>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20" i="4" l="1"/>
  <c r="D20" i="4"/>
  <c r="E19" i="4"/>
  <c r="D19" i="4"/>
  <c r="D11" i="4"/>
  <c r="D17" i="4"/>
  <c r="E17" i="4"/>
  <c r="D9" i="4"/>
  <c r="D12" i="4" s="1"/>
  <c r="E9" i="4"/>
  <c r="E12" i="4" s="1"/>
  <c r="E11" i="4" l="1"/>
</calcChain>
</file>

<file path=xl/sharedStrings.xml><?xml version="1.0" encoding="utf-8"?>
<sst xmlns="http://schemas.openxmlformats.org/spreadsheetml/2006/main" count="328" uniqueCount="313">
  <si>
    <t>STT</t>
  </si>
  <si>
    <t>Giai đoạn</t>
  </si>
  <si>
    <t>Hoạt động kỹ thuật cốt lõi</t>
  </si>
  <si>
    <t xml:space="preserve">Đặc tính hình thành </t>
  </si>
  <si>
    <t xml:space="preserve">Phương pháp minh chứng </t>
  </si>
  <si>
    <t>Vai trò trong phân tích điện hóa</t>
  </si>
  <si>
    <t>#0</t>
  </si>
  <si>
    <t>TIỀN XỬ LÝ (Pre-treatment)</t>
  </si>
  <si>
    <t>• Delignification: NaOH 1.5M, 80°C, 90 phút</t>
  </si>
  <si>
    <t>• Bleaching: H₂O₂ 40%, 80°C, 2h×2 lần</t>
  </si>
  <si>
    <t>• Rửa sạch đến pH~7 → Sấy 60°C</t>
  </si>
  <si>
    <t>• Cellulose content: 70-80%</t>
  </si>
  <si>
    <t>• Lignin còn lại: &lt;5%</t>
  </si>
  <si>
    <t>• Màu: Trắng kem/trắng sáng</t>
  </si>
  <si>
    <t>• Tubular structure bảo tồn</t>
  </si>
  <si>
    <t>• FTIR (C=O, C-O-C peaks)</t>
  </si>
  <si>
    <r>
      <t>• TGA (cellulose T</t>
    </r>
    <r>
      <rPr>
        <vertAlign val="subscript"/>
        <sz val="11"/>
        <color theme="1"/>
        <rFont val="Cambria"/>
        <family val="1"/>
      </rPr>
      <t>d</t>
    </r>
    <r>
      <rPr>
        <sz val="11"/>
        <color theme="1"/>
        <rFont val="Cambria"/>
        <family val="1"/>
      </rPr>
      <t xml:space="preserve"> ~350°C)</t>
    </r>
  </si>
  <si>
    <t>• Visual inspection</t>
  </si>
  <si>
    <t>• SEM (cross-section)</t>
  </si>
  <si>
    <t>Nền tảng cho cấu trúc sạch, đồng nhất.</t>
  </si>
  <si>
    <t>Loại bỏ tạp chất → Tăng purity</t>
  </si>
  <si>
    <t>Q3: Thấy rõ các ống vi thể rỗng, sạch tạp chất</t>
  </si>
  <si>
    <t>#1</t>
  </si>
  <si>
    <t>SOL-GEL &amp; DOPING (In-situ metal incorporation)</t>
  </si>
  <si>
    <t>• Hòa tan: NaOH/Thiourea/-18°C, 60 phút</t>
  </si>
  <si>
    <t>• Thêm TEPA: 1.5-3.0g (N-source + chelator)</t>
  </si>
  <si>
    <t>• Thêm muối: NiCl₂·6H₂O + CoCl₂·6H₂O (Ni:Co = 1:2 mol ratio)</t>
  </si>
  <si>
    <t>• Gel hóa: 60°C, 12 giờ</t>
  </si>
  <si>
    <t>• 3D network formation</t>
  </si>
  <si>
    <t>• NiCo uniform dispersion (không vón cục)</t>
  </si>
  <si>
    <t>• Particle size: 5-20 nm</t>
  </si>
  <si>
    <t>• SEM (interconnected fibers)</t>
  </si>
  <si>
    <t>• TEM-EDX mapping (Ni, Co)</t>
  </si>
  <si>
    <t>• Particle size: TEM</t>
  </si>
  <si>
    <t>Tạo khung dẫn electron liên tục + In-situ anchor kim loại → Tránh vón cục</t>
  </si>
  <si>
    <r>
      <t xml:space="preserve">Q2: Góc tiếp xúc (Contact Angle </t>
    </r>
    <r>
      <rPr>
        <sz val="11"/>
        <color theme="1"/>
        <rFont val="Aptos Narrow"/>
        <family val="2"/>
      </rPr>
      <t>↓</t>
    </r>
    <r>
      <rPr>
        <sz val="11"/>
        <color theme="1"/>
        <rFont val="Cambria"/>
        <family val="1"/>
      </rPr>
      <t>) thấm ướt tốt sau nung</t>
    </r>
  </si>
  <si>
    <t>#2</t>
  </si>
  <si>
    <t>FREEZE-DRYING (Cryogenic sublimation)</t>
  </si>
  <si>
    <t>• Trao đổi dung môi: Ethanol → n-Hexane</t>
  </si>
  <si>
    <t>• Đông lạnh: -80°C</t>
  </si>
  <si>
    <t>• Thăng hoa: &lt;20 Pa, -40°C, 24-48h</t>
  </si>
  <si>
    <t>• SSA: 1500-2500 m²/g</t>
  </si>
  <si>
    <t>• Mesopore ratio: 50-60%</t>
  </si>
  <si>
    <t>• Pore size: 2-10 nm (dominant)</t>
  </si>
  <si>
    <t>• Cấu trúc xốp không sụp đổ</t>
  </si>
  <si>
    <t>• BET (N₂ adsorption 77K)</t>
  </si>
  <si>
    <t>• BJH (pore distribution)</t>
  </si>
  <si>
    <t>• Isotherm Type IV (có mesopore 2-50nm)</t>
  </si>
  <si>
    <t>• SEM (visual check)</t>
  </si>
  <si>
    <t>Maximize active sites → Tăng sensitivity.</t>
  </si>
  <si>
    <t>Mesopore 50-60% cho glucose tiếp cận</t>
  </si>
  <si>
    <t>Q2: BET và BJH</t>
  </si>
  <si>
    <t>#3</t>
  </si>
  <si>
    <t>• Tẩm KOH: 0.5:1 ratio (KOH:CA)</t>
  </si>
  <si>
    <t>• Nung: 750°C, N₂, 60 phút</t>
  </si>
  <si>
    <t>• Rửa acid loại KOH dư</t>
  </si>
  <si>
    <t>• Micropore tăng nhẹ (~10%)</t>
  </si>
  <si>
    <t>• SSA có thể tăng thêm 200-500 m²/g</t>
  </si>
  <si>
    <r>
      <t>⚠️</t>
    </r>
    <r>
      <rPr>
        <sz val="11"/>
        <color rgb="FF000000"/>
        <rFont val="Cambria"/>
        <family val="1"/>
      </rPr>
      <t xml:space="preserve"> Phá hủy Ni/Co nếu KOH quá cao</t>
    </r>
  </si>
  <si>
    <t>• BET (SSA comparison)</t>
  </si>
  <si>
    <t>• BJH (micropore %)</t>
  </si>
  <si>
    <t>• XPS (check metal loss)</t>
  </si>
  <si>
    <t>Fine-tune pore structure (nếu cần).</t>
  </si>
  <si>
    <t>TEST xem có cải thiện sensitivity không</t>
  </si>
  <si>
    <t>Q3</t>
  </si>
  <si>
    <t>#4</t>
  </si>
  <si>
    <t>CARBONIZATION (Pyrolysis + Heteroatom fixing)</t>
  </si>
  <si>
    <t>• Nung: 500-550°C, N₂ (200 ml/min), 120 phút</t>
  </si>
  <si>
    <t>• Tốc độ nung: 5°C/phút</t>
  </si>
  <si>
    <t>• Làm nguội tự nhiên trong lò</t>
  </si>
  <si>
    <t>• Conductivity: 10-50 S/cm (bulk)</t>
  </si>
  <si>
    <t>• ID/IG: 0.8-1.0 (Raman)</t>
  </si>
  <si>
    <t>• Pyridinic-N: 3-6 at.% (&gt;40% of N)</t>
  </si>
  <si>
    <t>• NiCo₂O₄ spinel structure</t>
  </si>
  <si>
    <t>• Ni²⁺/Ni³⁺ ≈ 1:1 (optimal)</t>
  </si>
  <si>
    <t>• 4-point probe (bulk σ)</t>
  </si>
  <si>
    <t>• Raman spectroscopy</t>
  </si>
  <si>
    <t>• XPS (N 1s, Ni 2p, Co 2p)</t>
  </si>
  <si>
    <t>• XRD (phase identification)</t>
  </si>
  <si>
    <t>• TGA (metal content check)</t>
  </si>
  <si>
    <r>
      <t>Activate electron pathway → Low R</t>
    </r>
    <r>
      <rPr>
        <vertAlign val="subscript"/>
        <sz val="11"/>
        <color theme="1"/>
        <rFont val="Cambria"/>
        <family val="1"/>
      </rPr>
      <t>ct</t>
    </r>
    <r>
      <rPr>
        <sz val="11"/>
        <color theme="1"/>
        <rFont val="Cambria"/>
        <family val="1"/>
      </rPr>
      <t>.</t>
    </r>
  </si>
  <si>
    <t>N-doping tạo active sites → Hạ LOD.</t>
  </si>
  <si>
    <t>NiO/Co₃O₄ formation → Catalysis</t>
  </si>
  <si>
    <r>
      <t>Q3:Raman I</t>
    </r>
    <r>
      <rPr>
        <vertAlign val="subscript"/>
        <sz val="11"/>
        <color theme="1"/>
        <rFont val="Cambria"/>
        <family val="1"/>
      </rPr>
      <t>D</t>
    </r>
    <r>
      <rPr>
        <sz val="11"/>
        <color theme="1"/>
        <rFont val="Cambria"/>
        <family val="1"/>
      </rPr>
      <t>/I</t>
    </r>
    <r>
      <rPr>
        <vertAlign val="subscript"/>
        <sz val="11"/>
        <color theme="1"/>
        <rFont val="Cambria"/>
        <family val="1"/>
      </rPr>
      <t>G</t>
    </r>
  </si>
  <si>
    <t>Q2:</t>
  </si>
  <si>
    <t>EIS, XRD/TEM</t>
  </si>
  <si>
    <t>Q1: XPS</t>
  </si>
  <si>
    <t>#5</t>
  </si>
  <si>
    <t>ELECTRODE FABRICATION</t>
  </si>
  <si>
    <t>• Pha slurry: CA:SuperP:PVDF = 80:10:10 trong NMP</t>
  </si>
  <si>
    <t>• Cast lên Ni foam (1×1 cm)</t>
  </si>
  <si>
    <t>• Sấy 80°C/12h → Ép 10 MPa/1 phút</t>
  </si>
  <si>
    <t>• Ngâm PBS 0.1M/2-4h trước test</t>
  </si>
  <si>
    <t>• Film uniformity (không nứt)</t>
  </si>
  <si>
    <t>• Adhesion (không bong)</t>
  </si>
  <si>
    <t>• Loading: 3-5 mg/cm²</t>
  </si>
  <si>
    <t>• SEM (surface morphology)</t>
  </si>
  <si>
    <t>• CV repeat (3-5 cycles)</t>
  </si>
  <si>
    <t>• Weight measurement</t>
  </si>
  <si>
    <t>Electrical contact tốt → Stable signal.</t>
  </si>
  <si>
    <t>Độ bền bám dính → Reproducibility</t>
  </si>
  <si>
    <t>Q3: CV lặp lại, SEM bề mặt</t>
  </si>
  <si>
    <t>#6</t>
  </si>
  <si>
    <t>ELECTRO-CHEMICAL TESTING  Quyết định chất lượng sensor</t>
  </si>
  <si>
    <t>• Setup: 3-electrode (WE: CA/Ni foam; RE: Ag/AgCl; CE: Pt wire)</t>
  </si>
  <si>
    <t>• Electrolyte: PBS 0.1M, pH 7.4</t>
  </si>
  <si>
    <t>• CV: -0.2 to +0.6V, 50 mV/s</t>
  </si>
  <si>
    <t>• Amperometry: +0.5V vs Ag/AgCl</t>
  </si>
  <si>
    <t>• EIS: 0.01 Hz - 100 kHz</t>
  </si>
  <si>
    <t>• Stability: 100 cycles CV</t>
  </si>
  <si>
    <t>• Real sample: Blood/saliva (10 mẫu)</t>
  </si>
  <si>
    <t>• Sensitivity: &gt;700 μA·mM⁻¹·cm⁻²</t>
  </si>
  <si>
    <t>• LOD: &lt;0.5 μM</t>
  </si>
  <si>
    <t>• Linear range: 0.01-15 mM</t>
  </si>
  <si>
    <r>
      <t>• R</t>
    </r>
    <r>
      <rPr>
        <vertAlign val="subscript"/>
        <sz val="11"/>
        <color theme="1"/>
        <rFont val="Cambria"/>
        <family val="1"/>
      </rPr>
      <t>ct</t>
    </r>
    <r>
      <rPr>
        <sz val="11"/>
        <color theme="1"/>
        <rFont val="Cambria"/>
        <family val="1"/>
      </rPr>
      <t>: &lt;50 Ω (từ EIS)</t>
    </r>
  </si>
  <si>
    <t>• Response time: 2-5s (t₉₀)</t>
  </si>
  <si>
    <r>
      <t>• Selectivity: I</t>
    </r>
    <r>
      <rPr>
        <vertAlign val="subscript"/>
        <sz val="11"/>
        <color theme="1"/>
        <rFont val="Cambria"/>
        <family val="1"/>
      </rPr>
      <t>Glc</t>
    </r>
    <r>
      <rPr>
        <sz val="11"/>
        <color theme="1"/>
        <rFont val="Cambria"/>
        <family val="1"/>
      </rPr>
      <t>/I</t>
    </r>
    <r>
      <rPr>
        <vertAlign val="subscript"/>
        <sz val="11"/>
        <color theme="1"/>
        <rFont val="Cambria"/>
        <family val="1"/>
      </rPr>
      <t>AA</t>
    </r>
    <r>
      <rPr>
        <sz val="11"/>
        <color theme="1"/>
        <rFont val="Cambria"/>
        <family val="1"/>
      </rPr>
      <t xml:space="preserve"> &gt;10:1</t>
    </r>
  </si>
  <si>
    <t>• Stability: &gt;85% after 100 cycles</t>
  </si>
  <si>
    <t>• Recovery: 95-105% (real sample)</t>
  </si>
  <si>
    <t>• CV (glucose oxidation peak)</t>
  </si>
  <si>
    <t>• Amperometry (+0.5V, add glucose stepwise)</t>
  </si>
  <si>
    <t>• EIS (Nyquist plot, Rct)</t>
  </si>
  <si>
    <t>• Chrono-amperometry (t₉₀)</t>
  </si>
  <si>
    <t>• Interference test (AA, UA, DA, Fructose)</t>
  </si>
  <si>
    <t>• Real sample correlation with glucometer (R²&gt;0.99)</t>
  </si>
  <si>
    <t>CORE performance metrics quyết định chất lượng sensor.</t>
  </si>
  <si>
    <t>Sensitivity → Độ nhạy.</t>
  </si>
  <si>
    <t>LOD → Phát hiện nồng độ thấp.</t>
  </si>
  <si>
    <t>Selectivity → Chống nhiễu.</t>
  </si>
  <si>
    <t>Stability → Tuổi thọ</t>
  </si>
  <si>
    <t>Q1</t>
  </si>
  <si>
    <r>
      <t xml:space="preserve">KOH ACTIVATION </t>
    </r>
    <r>
      <rPr>
        <b/>
        <sz val="11"/>
        <color rgb="FFEE0000"/>
        <rFont val="Cambria"/>
        <family val="1"/>
      </rPr>
      <t>(OPTIONAL)</t>
    </r>
    <r>
      <rPr>
        <sz val="11"/>
        <color rgb="FF000000"/>
        <rFont val="Segoe UI Emoji"/>
        <family val="2"/>
      </rPr>
      <t>⚠️</t>
    </r>
    <r>
      <rPr>
        <sz val="11"/>
        <color rgb="FF000000"/>
        <rFont val="Cambria"/>
        <family val="1"/>
      </rPr>
      <t>nếu cần</t>
    </r>
  </si>
  <si>
    <t>Q3: mạng lưới 3D</t>
  </si>
  <si>
    <t>Khoảng trống nghiên cứu (Gap)</t>
  </si>
  <si>
    <t>Ý nghĩa đối với Biosensor</t>
  </si>
  <si>
    <t>Nguyên liệu</t>
  </si>
  <si>
    <t>Sử dụng xơ dừa thô, xử lý kiềm/tẩy trắng truyền thống.</t>
  </si>
  <si>
    <t>Tín hiệu nền (background current) và độ nhạy (sensitivity) của sensor không ổn định giữa các lô sản xuất.</t>
  </si>
  <si>
    <t>Sấy cấu trúc</t>
  </si>
  <si>
    <t>Chủ yếu sấy thăng hoa (freeze-drying) hoặc sấy tới hạn.</t>
  </si>
  <si>
    <t>Biến tính/Doping</t>
  </si>
  <si>
    <t>Doping Nitơ (N) hoặc kim loại (Ni, Co, Fe) bằng cách ngâm tẩm hoặc in-situ.</t>
  </si>
  <si>
    <t>Pyridinic-N quyết định khả năng xúc tác cho biosensor, nếu không đồng đều sẽ làm sai lệch giới hạn phát hiện (LOD).</t>
  </si>
  <si>
    <t>Cấu trúc lỗ xốp</t>
  </si>
  <si>
    <t>Nếu lỗ xốp quá nhỏ (&lt;2nm), các phân tử sinh học lớn không thể xâm nhập vào bên trong electrode.</t>
  </si>
  <si>
    <t>Màng dễ bong khi đo trong dung dịch đệm (PBS) hoặc trở kháng (Rct) quá cao làm chậm phản ứng của sensor.</t>
  </si>
  <si>
    <r>
      <t>Độ lặp lại (Reproducibility):</t>
    </r>
    <r>
      <rPr>
        <sz val="10"/>
        <color rgb="FF303030"/>
        <rFont val="Cambria"/>
        <family val="1"/>
      </rPr>
      <t xml:space="preserve"> Sự biến thiên thành phần cellulose/lignin theo vùng miền và tuổi cây dừa chưa được chuẩn hóa.</t>
    </r>
  </si>
  <si>
    <r>
      <t>Sấy áp suất khí quyển:</t>
    </r>
    <r>
      <rPr>
        <sz val="10"/>
        <color rgb="FF303030"/>
        <rFont val="Cambria"/>
        <family val="1"/>
      </rPr>
      <t xml:space="preserve"> Quy trình sấy thăng hoa tiêu tốn năng lượng cao và khó kiểm soát hình thái nano chính xác.</t>
    </r>
  </si>
  <si>
    <r>
      <t>Độ đồng nhất của vị trí hoạt động:</t>
    </r>
    <r>
      <rPr>
        <sz val="10"/>
        <color rgb="FF303030"/>
        <rFont val="Cambria"/>
        <family val="1"/>
      </rPr>
      <t xml:space="preserve"> Khó kiểm soát tỷ lệ chính xác của các dạng Nitơ (như Pyridinic-N vs Graphitic-N) trên bề mặt.</t>
    </r>
  </si>
  <si>
    <r>
      <t xml:space="preserve">Tập trung vào diện tích bề mặt (SSA) cực lớn (&gt;2000 </t>
    </r>
    <r>
      <rPr>
        <i/>
        <sz val="10"/>
        <color rgb="FF303030"/>
        <rFont val="Cambria"/>
        <family val="1"/>
      </rPr>
      <t>m</t>
    </r>
    <r>
      <rPr>
        <sz val="10"/>
        <color rgb="FF303030"/>
        <rFont val="Cambria"/>
        <family val="1"/>
      </rPr>
      <t>2/</t>
    </r>
    <r>
      <rPr>
        <i/>
        <sz val="10"/>
        <color rgb="FF303030"/>
        <rFont val="Cambria"/>
        <family val="1"/>
      </rPr>
      <t>g</t>
    </r>
    <r>
      <rPr>
        <sz val="10"/>
        <color rgb="FF303030"/>
        <rFont val="Cambria"/>
        <family val="1"/>
      </rPr>
      <t>).</t>
    </r>
  </si>
  <si>
    <r>
      <t>Tối ưu hóa cho phân tử sinh học:</t>
    </r>
    <r>
      <rPr>
        <sz val="10"/>
        <color rgb="FF303030"/>
        <rFont val="Cambria"/>
        <family val="1"/>
      </rPr>
      <t xml:space="preserve"> Hầu hết nghiên cứu tập trung vào hấp phụ dầu hoặc siêu tụ điện, chưa tối ưu kích thước lỗ xốp cho enzyme hoặc DNA lớn.</t>
    </r>
  </si>
  <si>
    <r>
      <t>Độ bền bám dính &amp; truyền dẫn:</t>
    </r>
    <r>
      <rPr>
        <sz val="10"/>
        <color rgb="FF303030"/>
        <rFont val="Cambria"/>
        <family val="1"/>
      </rPr>
      <t xml:space="preserve"> Sự đánh đổi giữa hàm lượng binder (giúp bền màng) và độ dẫn điện (giảm do binder bao phủ).</t>
    </r>
  </si>
  <si>
    <t>Chuẩn hóa nguồn nguyên liệu</t>
  </si>
  <si>
    <t>Sấy</t>
  </si>
  <si>
    <t>Sử dụng dung môi sấy và tối ưu nhiệt độ sấy</t>
  </si>
  <si>
    <t>Nung</t>
  </si>
  <si>
    <t>Đo điện hóa</t>
  </si>
  <si>
    <t>So sánh đối với:
- Mẫu có tính chất tối ưu đối với từng quy trình hay là
- Chung một quy trình và không tính đến chất tối ưu của mẫu?</t>
  </si>
  <si>
    <t>Rửa sạch bao nhiêu là tối ưu đối với từng loại biosensor (không/có doping đơn và đa nguyên tử). Yếu tố ligin để giữ cấu trúc nên cân bằng với đa nguyên tố như nào?</t>
  </si>
  <si>
    <t>- Khảo sát yếu tố và ảnh hưởng bởi chất phân tích và xử lý nền mẫu chất phân tích nào?
- Sử dụng phương pháp và chất đối chứng nào??</t>
  </si>
  <si>
    <t>Đánh giá yếu tố ngoại quan</t>
  </si>
  <si>
    <t>Trung bình một nghiên cứu (Q2-Q3) thì sử dụng ma trận doping như thế nào? Thực hiện bao nhiêu thí nghiệm đơn/đa nguyên tố?</t>
  </si>
  <si>
    <t>Điều kiện "vàng" để tổng hợp mẫu carbon aerogel</t>
  </si>
  <si>
    <t>Doping (giới hạn nguyên tố)</t>
  </si>
  <si>
    <t>2. Yếu tố nào của các giai đoạn sau sẽ ảnh hưởng đến các nguyên tố sau khi doping? Cần thay đổi giai đoạn trước và sau như thế nào để tối ưu nguyên tố doping vào carbon aerogel?</t>
  </si>
  <si>
    <t>3. Sử dụng yếu tố nào để nhận xét nhanh và ra quyết định đến các quy trình tối ưu vật liệu hay không? Cái nào thay đổi, cái nào giữ? Giữ cái gì? Tăng giảm cái gì? đạt kết quả nào?</t>
  </si>
  <si>
    <r>
      <t>- Xơ dừa (coir fiber) có hàm lượng cellulose cao (23-43%), cấu trúc sợi rỗng tự nhiên tạo aerogel xốp 3D với diện tích bề mặt lớn (lên đến 3730 m²/g sau carbon hóa). Xơ dừa ưu thế hơn ở độ xốp cao (96-97%) và N tự nhiên từ ammonia-urea.
- So với vỏ dừa (coconut shell) tạo carbon mesopore với MoS</t>
    </r>
    <r>
      <rPr>
        <vertAlign val="subscript"/>
        <sz val="11"/>
        <color theme="1"/>
        <rFont val="Cambria"/>
        <family val="1"/>
      </rPr>
      <t>2</t>
    </r>
    <r>
      <rPr>
        <sz val="11"/>
        <color theme="1"/>
        <rFont val="Cambria"/>
        <family val="1"/>
      </rPr>
      <t xml:space="preserve"> composite cho </t>
    </r>
    <r>
      <rPr>
        <b/>
        <u/>
        <sz val="11"/>
        <color theme="1"/>
        <rFont val="Cambria"/>
        <family val="1"/>
      </rPr>
      <t>hấp phụ Cu(II),</t>
    </r>
    <r>
      <rPr>
        <sz val="11"/>
        <color theme="1"/>
        <rFont val="Cambria"/>
        <family val="1"/>
      </rPr>
      <t xml:space="preserve"> hoặc tảo (algae) </t>
    </r>
    <r>
      <rPr>
        <b/>
        <u/>
        <sz val="11"/>
        <color theme="1"/>
        <rFont val="Cambria"/>
        <family val="1"/>
      </rPr>
      <t>cho Fe-doped aerogel</t>
    </r>
    <r>
      <rPr>
        <sz val="11"/>
        <color theme="1"/>
        <rFont val="Cambria"/>
        <family val="1"/>
      </rPr>
      <t xml:space="preserve"> phát hiện dopamine
- </t>
    </r>
    <r>
      <rPr>
        <b/>
        <sz val="11"/>
        <color theme="1"/>
        <rFont val="Cambria"/>
        <family val="1"/>
      </rPr>
      <t>Các loại xơ dừa khác nhau</t>
    </r>
    <r>
      <rPr>
        <sz val="11"/>
        <color theme="1"/>
        <rFont val="Cambria"/>
        <family val="1"/>
      </rPr>
      <t xml:space="preserve"> (coir vs shell fiber) ảnh hưởng đến độ xốp và mật độ: coir fiber cho mật độ thấp 0.028-0.045 g/cm³, shell tạo cấu trúc ống rỗng tốt cho mass transfer</t>
    </r>
  </si>
  <si>
    <t>ma trận tối ưu gồm: mẫu pure và doping đơn và đa nguyên tử (composite)
Theo thông thường Q3-Q2: sử dụng các nguyên tố sau:</t>
  </si>
  <si>
    <t>Ammonia-urea làm dung môi cellulose và cross-linker: ammonia doping N và exfoliate tạo defect, urea liên kết chéo trong sol-gel, sau freeze-dry và pyrolysis. 
- Nhiệt độ pyrolysis quyết định: 600°C ưu tiên pyrrolic N (mesopore cao), 700°C pyridinic N (tối ưu ORR), 800°C graphitic N (graphitization cao nhưng N giảm); 
- Không doping thì diện tích bề mặt giảm, ít defect. Tăng nhiệt độ từ 600-1200°C chuyển từ mesopore sang micropore, hiệu suất carbon hóa ~45%</t>
  </si>
  <si>
    <t>600°C</t>
  </si>
  <si>
    <t>Pyrrolic</t>
  </si>
  <si>
    <t>Mesopore cao, SSA trung bình ​</t>
  </si>
  <si>
    <t>700°C</t>
  </si>
  <si>
    <t>Pyridinic</t>
  </si>
  <si>
    <t>Hoạt tính ORR tốt nhất </t>
  </si>
  <si>
    <t>800°C</t>
  </si>
  <si>
    <t>Graphitic</t>
  </si>
  <si>
    <t>Graphitization cao, N thấp ​</t>
  </si>
  <si>
    <t>Không doping</t>
  </si>
  <si>
    <t>Không</t>
  </si>
  <si>
    <t>SSA thấp hơn, ít defect ​</t>
  </si>
  <si>
    <r>
      <t xml:space="preserve">Có 2 hướng gồm:
1. Sử dụng chất kết dính (cross-linker)
2. Không sử dụng cross-linker (màng tự đứng _ Ứng dụng cho wearable sensor)
</t>
    </r>
    <r>
      <rPr>
        <b/>
        <sz val="11"/>
        <color theme="1"/>
        <rFont val="Cambria"/>
        <family val="1"/>
      </rPr>
      <t>Đối với hướng 1:</t>
    </r>
    <r>
      <rPr>
        <sz val="11"/>
        <color theme="1"/>
        <rFont val="Cambria"/>
        <family val="1"/>
      </rPr>
      <t xml:space="preserve"> Cross-linker như urea/PVA/xanthan gum tạo mạng 3D ổn định trong nước, dùng cho màng modify glassy carbon electrode (GCE). Trong sensing, aerogel cross-linked phủ GCE tăng electron transfer (ví dụ CAs-Fe/GCE cho DA)</t>
    </r>
  </si>
  <si>
    <t>1. Đối với ứng dụng làm màng điện cực phân tích điện hóa thì mọt bài báo nghiên cứu (Q2-Q3) thì nên sử dụng bao nhiêu loại doping đơn/đa và dựa trên cơ sở nào để lựa chọn hệ doping đó.
2. Yếu tố nào của các giai đoạn sau sẽ ảnh hưởng đến các nguyên tố sau khi doping? Cần thay đổi giai đoạn trước và sau như thế nào để tối ưu nguyên tố doping vào carbon aerogel?
3. Sử dụng cơ sở ngoại quan nào để nhận xét nhanh và ra quyết định đến các quy trình tối ưu vật liệu hay không đối với mỗi giai đoạn tổng hợp carbon aerogel? Cái nào thay đổi, cái nào giữ? Giữ cái gì? Tăng giảm cái gì? đạt kết quả nào?
Hãy tạo report nghiên cứu về vấn đề này</t>
  </si>
  <si>
    <t>Nhiệt Độ Pyrolysis</t>
  </si>
  <si>
    <t>Loại Doping N Chính</t>
  </si>
  <si>
    <t>Tính Chất Sản Phẩm</t>
  </si>
  <si>
    <t>Tạo màng và cross-linker</t>
  </si>
  <si>
    <t>Các vấn đề trong từng giai đoạn trong quy trình</t>
  </si>
  <si>
    <t>Bài báo 1: https://doi.org/10.4028/p-RzIuQ9
Bài báo 2: https://doi.org/10.1002/smll.201602334</t>
  </si>
  <si>
    <t>Phân loại Doping</t>
  </si>
  <si>
    <t>Nguyên tố pha tạp</t>
  </si>
  <si>
    <t>Đối tượng phân tích / Ứng dụng điện hóa</t>
  </si>
  <si>
    <t>Cơ chế / Tính chất nổi bật hỗ trợ phân tích</t>
  </si>
  <si>
    <t>Doping Đơn (Single Doping)</t>
  </si>
  <si>
    <t>Nitơ (N)</t>
  </si>
  <si>
    <t>Nitơ tạo ra sự phi định xứ điện tích (charge delocalization), tăng độ ưa nước, tạo tâm xúc tác Pyridinic-N và Pyrrolic-N giúp tăng dòng oxy hóa/khử.</t>
  </si>
  <si>
    <t>Doping Đa nguyên tố (Co-doping)</t>
  </si>
  <si>
    <t>Nitơ - Lưu huỳnh (N, S)</t>
  </si>
  <si>
    <t>Nitơ - Phốt pho (N, P)</t>
  </si>
  <si>
    <t>- p-Nitrophenol (p-NP) (Xúc tác khử điện hóa)</t>
  </si>
  <si>
    <t>Tạo nhiều khiếm khuyết, làm tăng tỷ lệ N-oxide và N-pyrrolic, mở rộng diện tích bề mặt và cải thiện khả năng truyền điện tử.</t>
  </si>
  <si>
    <t>Nitơ - Bo (N, B) / Nitơ - Flo (N, F)</t>
  </si>
  <si>
    <t>Tái phân bố mật độ spin, tạo điện tích bất đối xứng, tạo nhiều tâm hoạt tính xúc tác mạnh mẽ.</t>
  </si>
  <si>
    <t>N cố định và phân tán các nguyên tử kim loại (tạo tâm M-N dạng single-atom), chống kết tụ kim loại, thúc đẩy quá trình proton hóa và trao đổi electron cực nhanh</t>
  </si>
  <si>
    <t>- Gốc tự do DPPH và Gốc Superoxide (kiểm tra hoạt tính chống oxy hóa)
- Ion kim loại nặng (Cd)</t>
  </si>
  <si>
    <t>- Phản ứng khử oxy (ORR) trong pin nhiên liệu</t>
  </si>
  <si>
    <t>Quy trình/Yếu tố đã nghiên cứu</t>
  </si>
  <si>
    <r>
      <rPr>
        <b/>
        <sz val="10"/>
        <color rgb="FF303030"/>
        <rFont val="Cambria"/>
        <family val="1"/>
      </rPr>
      <t>Sấy thường</t>
    </r>
    <r>
      <rPr>
        <sz val="10"/>
        <color rgb="FF303030"/>
        <rFont val="Cambria"/>
        <family val="1"/>
      </rPr>
      <t xml:space="preserve"> nhưng vẫn giữ được hệ lỗ xốp mesopore (2-50nm) để chất phân tích khuếch tán.</t>
    </r>
  </si>
  <si>
    <t xml:space="preserve">Tiền xử lý và rửa sạch </t>
  </si>
  <si>
    <t>Hướng ứng dụng: Biosensor</t>
  </si>
  <si>
    <t xml:space="preserve">Tổng hợp Carbon Aerogel (CA) từ xơ dừa, ứng dụng C.A làm màng điện cực phân tích điện hóa </t>
  </si>
  <si>
    <t xml:space="preserve">1. Bảng xác định Gap Research </t>
  </si>
  <si>
    <t>Phân Hạng Q</t>
  </si>
  <si>
    <r>
      <rPr>
        <b/>
        <sz val="10"/>
        <color rgb="FFFF0000"/>
        <rFont val="Cambria"/>
        <family val="1"/>
      </rPr>
      <t>- Paracetamol (PA) và Hydrogen peroxide (H</t>
    </r>
    <r>
      <rPr>
        <b/>
        <vertAlign val="subscript"/>
        <sz val="10"/>
        <color rgb="FFFF0000"/>
        <rFont val="Cambria"/>
        <family val="1"/>
      </rPr>
      <t>2</t>
    </r>
    <r>
      <rPr>
        <b/>
        <sz val="10"/>
        <color rgb="FFFF0000"/>
        <rFont val="Cambria"/>
        <family val="1"/>
      </rPr>
      <t>​O</t>
    </r>
    <r>
      <rPr>
        <b/>
        <vertAlign val="subscript"/>
        <sz val="10"/>
        <color rgb="FFFF0000"/>
        <rFont val="Cambria"/>
        <family val="1"/>
      </rPr>
      <t>2</t>
    </r>
    <r>
      <rPr>
        <b/>
        <sz val="10"/>
        <color rgb="FFFF0000"/>
        <rFont val="Cambria"/>
        <family val="1"/>
      </rPr>
      <t>​)</t>
    </r>
    <r>
      <rPr>
        <sz val="10"/>
        <color rgb="FF303030"/>
        <rFont val="Cambria"/>
        <family val="1"/>
      </rPr>
      <t xml:space="preserve">
</t>
    </r>
    <r>
      <rPr>
        <b/>
        <sz val="10"/>
        <color rgb="FFFF0000"/>
        <rFont val="Cambria"/>
        <family val="1"/>
      </rPr>
      <t>- Dopamine (DA)</t>
    </r>
    <r>
      <rPr>
        <sz val="10"/>
        <color rgb="FF303030"/>
        <rFont val="Cambria"/>
        <family val="1"/>
      </rPr>
      <t xml:space="preserve">
- </t>
    </r>
    <r>
      <rPr>
        <b/>
        <sz val="10"/>
        <color rgb="FFFF0000"/>
        <rFont val="Cambria"/>
        <family val="1"/>
      </rPr>
      <t>Uric acid,</t>
    </r>
    <r>
      <rPr>
        <sz val="10"/>
        <color rgb="FF303030"/>
        <rFont val="Cambria"/>
        <family val="1"/>
      </rPr>
      <t xml:space="preserve"> Ascorbic acid, Glucose
- Ion kim loại nặng (Cu, </t>
    </r>
    <r>
      <rPr>
        <b/>
        <sz val="10"/>
        <color rgb="FFFF0000"/>
        <rFont val="Cambria"/>
        <family val="1"/>
      </rPr>
      <t>Pb</t>
    </r>
    <r>
      <rPr>
        <sz val="10"/>
        <color rgb="FFFF0000"/>
        <rFont val="Cambria"/>
        <family val="1"/>
      </rPr>
      <t>,</t>
    </r>
    <r>
      <rPr>
        <sz val="10"/>
        <color rgb="FF303030"/>
        <rFont val="Cambria"/>
        <family val="1"/>
      </rPr>
      <t xml:space="preserve"> Cr, </t>
    </r>
    <r>
      <rPr>
        <b/>
        <sz val="10"/>
        <color rgb="FFFF0000"/>
        <rFont val="Cambria"/>
        <family val="1"/>
      </rPr>
      <t>Cd</t>
    </r>
    <r>
      <rPr>
        <sz val="10"/>
        <color rgb="FF303030"/>
        <rFont val="Cambria"/>
        <family val="1"/>
      </rPr>
      <t>)</t>
    </r>
  </si>
  <si>
    <r>
      <t xml:space="preserve">Hiệu ứng hiệp đồng giữa chênh lệch độ âm điện của N và độ phân cực cao của S giúp hệ </t>
    </r>
    <r>
      <rPr>
        <i/>
        <sz val="10"/>
        <color rgb="FF303030"/>
        <rFont val="Cambria"/>
        <family val="1"/>
      </rPr>
      <t>π</t>
    </r>
    <r>
      <rPr>
        <sz val="10"/>
        <color rgb="FF303030"/>
        <rFont val="Cambria"/>
        <family val="1"/>
      </rPr>
      <t xml:space="preserve"> liên hợp dễ dàng cho electron.</t>
    </r>
  </si>
  <si>
    <t>Giới hạn phạm vi trong đề tài</t>
  </si>
  <si>
    <t>Lựa chọn Doping: Fe, N
Có thể linh hoạt thay đổi sang: S, P nếu cần thiết</t>
  </si>
  <si>
    <t>Sấy thường có sử dụng dung môi trao đổi, hỗ trợ quá trình sấy: ethanol, cồn, hexane</t>
  </si>
  <si>
    <t>Đang lựa chọn nguồn cung xơ dừa, thống nhất 1 nguồn cho đề tài này</t>
  </si>
  <si>
    <t>Nội dung</t>
  </si>
  <si>
    <t>Có thể cân nhắc để tối ưu đồng thời trong giai đoạn doping</t>
  </si>
  <si>
    <t>Ghi chú</t>
  </si>
  <si>
    <t>Chế tạo màng (có 2 hướng)</t>
  </si>
  <si>
    <r>
      <t>1. Màng tự đứng (free-standing)</t>
    </r>
    <r>
      <rPr>
        <b/>
        <sz val="10"/>
        <color rgb="FF303030"/>
        <rFont val="Cambria"/>
        <family val="1"/>
      </rPr>
      <t>*</t>
    </r>
    <r>
      <rPr>
        <sz val="10"/>
        <color rgb="FF303030"/>
        <rFont val="Cambria"/>
        <family val="1"/>
      </rPr>
      <t xml:space="preserve">
2. Dùng cross-linker/binder: Trộn slurry với chất kết dính (PVDF, Nafion).
</t>
    </r>
    <r>
      <rPr>
        <b/>
        <i/>
        <sz val="10"/>
        <color rgb="FF303030"/>
        <rFont val="Cambria"/>
        <family val="1"/>
      </rPr>
      <t>Thông thường: polymer/binder làm cross-linker</t>
    </r>
  </si>
  <si>
    <t>Phương Pháp</t>
  </si>
  <si>
    <t>Vật Tư Cần Thiết</t>
  </si>
  <si>
    <t>Chi Phí (USD)</t>
  </si>
  <si>
    <t>Đánh Giá Q2</t>
  </si>
  <si>
    <t>Cross-linker + GCE</t>
  </si>
  <si>
    <t>GCE(3mm), Nafion 0.5%, DMF/EtOH</t>
  </si>
  <si>
    <t>3-5$/electrode</t>
  </si>
  <si>
    <t>Tốt nhất pmc.ncbi.nlm.nih​</t>
  </si>
  <si>
    <t>Màng tự đứng</t>
  </si>
  <si>
    <t>Press machine, Cu foil, PET film, PDMS</t>
  </si>
  <si>
    <t>25-50$/electrode</t>
  </si>
  <si>
    <t>Trung bình</t>
  </si>
  <si>
    <r>
      <rPr>
        <b/>
        <sz val="10"/>
        <color rgb="FF303030"/>
        <rFont val="Cambria"/>
        <family val="1"/>
      </rPr>
      <t>Hướng 1*</t>
    </r>
    <r>
      <rPr>
        <sz val="10"/>
        <color rgb="FF303030"/>
        <rFont val="Cambria"/>
        <family val="1"/>
      </rPr>
      <t xml:space="preserve">: sử dụng hệ dung môi doping đồng thời </t>
    </r>
    <r>
      <rPr>
        <b/>
        <u/>
        <sz val="10"/>
        <color rgb="FF303030"/>
        <rFont val="Cambria"/>
        <family val="1"/>
      </rPr>
      <t>hỗ trợ</t>
    </r>
    <r>
      <rPr>
        <sz val="10"/>
        <color rgb="FF303030"/>
        <rFont val="Cambria"/>
        <family val="1"/>
      </rPr>
      <t xml:space="preserve"> làm cross-linker (có thể ứng dụng tiếp làm wearable biosensor)
</t>
    </r>
    <r>
      <rPr>
        <b/>
        <sz val="10"/>
        <color rgb="FF303030"/>
        <rFont val="Cambria"/>
        <family val="1"/>
      </rPr>
      <t>Hướng 2:</t>
    </r>
    <r>
      <rPr>
        <sz val="10"/>
        <color rgb="FF303030"/>
        <rFont val="Cambria"/>
        <family val="1"/>
      </rPr>
      <t xml:space="preserve"> Sử dụng tấm phim (foil) nhôm kết hợp với chất cross-linker </t>
    </r>
  </si>
  <si>
    <t>Nhóm thành phần</t>
  </si>
  <si>
    <t>Hóa chất chính</t>
  </si>
  <si>
    <t>Tỷ lệ / Giá tham khảo</t>
  </si>
  <si>
    <t>Thay thế linh hoạt</t>
  </si>
  <si>
    <t>Ghi chú kỹ thuật</t>
  </si>
  <si>
    <t>Polymer binder / cross-linker</t>
  </si>
  <si>
    <t>PVDF / Nafion</t>
  </si>
  <si>
    <t>5–15 wt%, ~0.5 USD/g</t>
  </si>
  <si>
    <t>Tạo liên kết cơ học, cố định cấu trúc CA</t>
  </si>
  <si>
    <t>Resin</t>
  </si>
  <si>
    <t>Resorcinol–formaldehyde</t>
  </si>
  <si>
    <t>—</t>
  </si>
  <si>
    <t>Sinh khối rẻ (chitosan, cellulose từ xơ dừa)</t>
  </si>
  <si>
    <t>Dùng làm khung carbon aerogel</t>
  </si>
  <si>
    <t>Dung môi phân tán</t>
  </si>
  <si>
    <t>DMF / NMP</t>
  </si>
  <si>
    <t>Nước / ethanol (rẻ, xanh hơn) nếu dùng hydrogel CA</t>
  </si>
  <si>
    <t>Phù hợp hệ gel nước</t>
  </si>
  <si>
    <t>Conductive additive</t>
  </si>
  <si>
    <t>Carbon black (CB)</t>
  </si>
  <si>
    <t>5–10 wt%</t>
  </si>
  <si>
    <t>Graphene oxide tự làm từ graphite (~0.1 USD/g)</t>
  </si>
  <si>
    <t>Tăng độ dẫn điện</t>
  </si>
  <si>
    <t>Mục tiêu cải thiện</t>
  </si>
  <si>
    <t>Phương pháp</t>
  </si>
  <si>
    <t>Thành phần / Điều kiện</t>
  </si>
  <si>
    <t>Kết quả đạt được</t>
  </si>
  <si>
    <t>Tăng độ linh hoạt</t>
  </si>
  <si>
    <t>Thêm plasticizer hoặc fiber</t>
  </si>
  <si>
    <t>PEG (1–5 wt%) hoặc cellulose fiber (10 wt%)</t>
  </si>
  <si>
    <t>Tránh nứt khi uốn cong</t>
  </si>
  <si>
    <t>Cải thiện dẫn điện</t>
  </si>
  <si>
    <t>Doping N–Fe trong slurry trước nén</t>
  </si>
  <si>
    <t>FeCl₃ + urea</t>
  </si>
  <si>
    <t>Tăng active sites cho DA / H₂O₂</t>
  </si>
  <si>
    <t>Độ xốp cao &amp; đồng đều</t>
  </si>
  <si>
    <t>Hot-pressing</t>
  </si>
  <si>
    <t>120°C / 5 MPa</t>
  </si>
  <si>
    <t>Porosity &gt;70%, độ dày 100–200 μm</t>
  </si>
  <si>
    <t>PAN / PTFE (~0.2 USD/g) hoặc chitosan tự nhiên (từ cua)</t>
  </si>
  <si>
    <r>
      <t xml:space="preserve">Nitơ - Kim loại chuyển tiếp (Fe, </t>
    </r>
    <r>
      <rPr>
        <sz val="10"/>
        <color rgb="FF303030"/>
        <rFont val="Cambria"/>
        <family val="1"/>
      </rPr>
      <t>Co, Ni, Cu</t>
    </r>
    <r>
      <rPr>
        <b/>
        <sz val="10"/>
        <color rgb="FF303030"/>
        <rFont val="Cambria"/>
        <family val="1"/>
      </rPr>
      <t xml:space="preserve">)
</t>
    </r>
    <r>
      <rPr>
        <i/>
        <u/>
        <sz val="10"/>
        <color rgb="FF303030"/>
        <rFont val="Cambria"/>
        <family val="1"/>
      </rPr>
      <t>Trong đề tài này lựa chọn nguyên tố 
N và Fe để doping</t>
    </r>
  </si>
  <si>
    <t>2.1. Lựa chọn nguyên tố doping (1-3 nguyên tố)</t>
  </si>
  <si>
    <t>2.3. Phương pháp tạo màng</t>
  </si>
  <si>
    <t>2.3.1. Màng sử dụng Cross-linker</t>
  </si>
  <si>
    <t>2. Xác định các yếu tố ảnh hưởng (giới hạn biến số)</t>
  </si>
  <si>
    <t>Nhiệt độ Carbonization</t>
  </si>
  <si>
    <t>Tỷ lệ doping ảnh hưởng đến Carbonization</t>
  </si>
  <si>
    <t>Nhiệt Độ Pyrolysis: 
600°C_Pyrrolic
700°C_Pyridinic
&gt; 800°C_Graphitic</t>
  </si>
  <si>
    <t>Khảo sát nhiệt độ từ 600-900 độ (tăng lên 100°C cho mỗi thử nghiệm)</t>
  </si>
  <si>
    <t>Hình thành khung mạng lưới carbon</t>
  </si>
  <si>
    <t>1. Thứ tự thục hiện thí nghiệm: Từ mẫu 0 doping đến mẫu doping</t>
  </si>
  <si>
    <t>2. Cơ sở/tiêu chí so sánh</t>
  </si>
  <si>
    <t>3. Cơ sở định lượng</t>
  </si>
  <si>
    <t>Điều kiện đo: 
Đo cùng một điều kiện, cùng một mẫu.
Giải thích:</t>
  </si>
  <si>
    <r>
      <t xml:space="preserve">Note: 
- </t>
    </r>
    <r>
      <rPr>
        <sz val="12"/>
        <color rgb="FF303030"/>
        <rFont val="Cambria"/>
        <family val="1"/>
      </rPr>
      <t>Sự lựa chọn các yếu tố vật tư trong đề tài có thể linh hoạt bởi các yếu tố: Tận dụng tài nguyên có sẵn (hóa chất thiết bị)
- Tương thích 85% - 95% đối với mảng Siêu tụ điện (Supercapacitors) &amp; Khử muối điện dung (CDI). Dựa trên cơ sở: EDLC và pseudocapacitance</t>
    </r>
  </si>
  <si>
    <r>
      <t xml:space="preserve">- Glucose (cảm biến không dùng enzyme)
- Acetaminophen (cảm biến điện hóa)
- Phản ứng khử Oxy (ORR)
</t>
    </r>
    <r>
      <rPr>
        <b/>
        <sz val="10"/>
        <color rgb="FFFF0000"/>
        <rFont val="Cambria"/>
        <family val="1"/>
      </rPr>
      <t>- Dopamine, Cd²⁺, Zn²⁺,Pb</t>
    </r>
    <r>
      <rPr>
        <b/>
        <vertAlign val="superscript"/>
        <sz val="10"/>
        <color rgb="FFFF0000"/>
        <rFont val="Cambria"/>
        <family val="1"/>
      </rPr>
      <t>2+</t>
    </r>
    <r>
      <rPr>
        <b/>
        <sz val="10"/>
        <color rgb="FFFF0000"/>
        <rFont val="Cambria"/>
        <family val="1"/>
      </rPr>
      <t>, Glucose/non-enzymatic (Fe</t>
    </r>
    <r>
      <rPr>
        <b/>
        <vertAlign val="superscript"/>
        <sz val="10"/>
        <color rgb="FFFF0000"/>
        <rFont val="Cambria"/>
        <family val="1"/>
      </rPr>
      <t>3+</t>
    </r>
    <r>
      <rPr>
        <b/>
        <sz val="10"/>
        <color rgb="FFFF0000"/>
        <rFont val="Cambria"/>
        <family val="1"/>
      </rPr>
      <t>/Fe</t>
    </r>
    <r>
      <rPr>
        <b/>
        <vertAlign val="superscript"/>
        <sz val="10"/>
        <color rgb="FFFF0000"/>
        <rFont val="Cambria"/>
        <family val="1"/>
      </rPr>
      <t>2+</t>
    </r>
    <r>
      <rPr>
        <b/>
        <sz val="10"/>
        <color rgb="FFFF0000"/>
        <rFont val="Cambria"/>
        <family val="1"/>
      </rPr>
      <t xml:space="preserve"> redox)
- Uric acid (UA)</t>
    </r>
  </si>
  <si>
    <r>
      <t xml:space="preserve">So sánh giữa các vật liệu (có tính chất tối ưu) hay so sánh chung một quy trình tổng hợp vật liệu.
1. So sánh giữa các đặc tính nào của vật liệu
2. So sánh với các nghiên cứu trước
3. So sánh nội bộ (các thông số đã tối ưu). </t>
    </r>
    <r>
      <rPr>
        <i/>
        <sz val="11"/>
        <color theme="1"/>
        <rFont val="Cambria"/>
        <family val="1"/>
      </rPr>
      <t>Xem lại cách mà nghiên cứu trước đã thực hiện</t>
    </r>
    <r>
      <rPr>
        <sz val="11"/>
        <color theme="1"/>
        <rFont val="Cambria"/>
        <family val="1"/>
      </rPr>
      <t xml:space="preserve">
4. So sánh với vật liệu thương mại
Giải thích:</t>
    </r>
  </si>
  <si>
    <t>- Đo ECSA (tốc độ truyền điện tử): Độ dốc Tafel (Tafel slope) của mẫu pha tạp và chưa pha tạp.
- Các loại vật liệu điện cực (Electrodes) | Chất phân tích (Analyte) | Phương pháp đo (Methods như DPV, SWASV) | Khoảng tuyến tính (Linear range) | Giới hạn phát hiện (LOD) | Độ chọn lọc (Selectivity) | Tối ưu hóa điều kiện đo | Tài liệu tham khảo (Ref)</t>
  </si>
  <si>
    <r>
      <t>Giai đoạn 3: Màng &amp; sensing (4 tuần):</t>
    </r>
    <r>
      <rPr>
        <sz val="10"/>
        <color theme="1"/>
        <rFont val="Georgia"/>
        <family val="1"/>
      </rPr>
      <t> 
Modify GCE với 4 mẫu tốt nhất, test Cd²⁺/dopamine (DPASV/CV), real sample. Tối ưu pH/thời gian.</t>
    </r>
  </si>
  <si>
    <r>
      <t>Giai đoạn 2: Pyrolysis &amp; doping (4-6 tuần):</t>
    </r>
    <r>
      <rPr>
        <sz val="10"/>
        <color theme="1"/>
        <rFont val="Georgia"/>
        <family val="1"/>
      </rPr>
      <t> 
Ma trận 3 nhiệt độ (600/700/800°C) x 2 doping (không/Fe salt rẻ như FeCl3), inert Ar. ~6 mẫu, phân tích XPS/SSA.</t>
    </r>
  </si>
  <si>
    <r>
      <t>Giai đoạn 1: Tối ưu cellulose aerogel (2-4 tuần):</t>
    </r>
    <r>
      <rPr>
        <sz val="10"/>
        <color theme="1"/>
        <rFont val="Georgia"/>
        <family val="1"/>
      </rPr>
      <t> 
3 tỷ lệ xơ dừa (với/urea cross-linker), freeze-dry. Kiểm tra độ xốp/độ bền.</t>
    </r>
  </si>
  <si>
    <r>
      <t xml:space="preserve">- </t>
    </r>
    <r>
      <rPr>
        <b/>
        <sz val="11"/>
        <color theme="1"/>
        <rFont val="Cambria"/>
        <family val="1"/>
      </rPr>
      <t>Doping đơn (N, Fe, Co)</t>
    </r>
    <r>
      <rPr>
        <sz val="11"/>
        <color theme="1"/>
        <rFont val="Cambria"/>
        <family val="1"/>
      </rPr>
      <t xml:space="preserve"> cải thiện hoạt tính xúc tác bằng cách tạo </t>
    </r>
    <r>
      <rPr>
        <b/>
        <u/>
        <sz val="11"/>
        <color theme="1"/>
        <rFont val="Cambria"/>
        <family val="1"/>
      </rPr>
      <t>defect,</t>
    </r>
    <r>
      <rPr>
        <sz val="11"/>
        <color theme="1"/>
        <rFont val="Cambria"/>
        <family val="1"/>
      </rPr>
      <t xml:space="preserve"> tăng </t>
    </r>
    <r>
      <rPr>
        <b/>
        <u/>
        <sz val="11"/>
        <color theme="1"/>
        <rFont val="Cambria"/>
        <family val="1"/>
      </rPr>
      <t>dẫn điện</t>
    </r>
    <r>
      <rPr>
        <sz val="11"/>
        <color theme="1"/>
        <rFont val="Cambria"/>
        <family val="1"/>
      </rPr>
      <t xml:space="preserve"> và vị trí hoạt động (pyridinic N tốt cho ORR). 
- </t>
    </r>
    <r>
      <rPr>
        <b/>
        <sz val="11"/>
        <color theme="1"/>
        <rFont val="Cambria"/>
        <family val="1"/>
      </rPr>
      <t>Đa nguyên tố</t>
    </r>
    <r>
      <rPr>
        <sz val="11"/>
        <color theme="1"/>
        <rFont val="Cambria"/>
        <family val="1"/>
      </rPr>
      <t xml:space="preserve"> (N/O/B, M-N như Ni/Fe/Co) tăng trung tâm hoạt động, cải thiện </t>
    </r>
    <r>
      <rPr>
        <b/>
        <u/>
        <sz val="11"/>
        <color rgb="FF002060"/>
        <rFont val="Cambria"/>
        <family val="1"/>
      </rPr>
      <t>độ ổn định</t>
    </r>
    <r>
      <rPr>
        <sz val="11"/>
        <color theme="1"/>
        <rFont val="Cambria"/>
        <family val="1"/>
      </rPr>
      <t xml:space="preserve"> và dung lượng </t>
    </r>
    <r>
      <rPr>
        <b/>
        <u/>
        <sz val="11"/>
        <color theme="1"/>
        <rFont val="Cambria"/>
        <family val="1"/>
      </rPr>
      <t>hấp thụ</t>
    </r>
    <r>
      <rPr>
        <sz val="11"/>
        <color theme="1"/>
        <rFont val="Cambria"/>
        <family val="1"/>
      </rPr>
      <t xml:space="preserve"> nhờ synergy (ví dụ O/N/B tăng active sites gần Fermi level). 
- </t>
    </r>
    <r>
      <rPr>
        <b/>
        <sz val="11"/>
        <color theme="1"/>
        <rFont val="Cambria"/>
        <family val="1"/>
      </rPr>
      <t>Composite</t>
    </r>
    <r>
      <rPr>
        <sz val="11"/>
        <color theme="1"/>
        <rFont val="Cambria"/>
        <family val="1"/>
      </rPr>
      <t xml:space="preserve"> (MoS</t>
    </r>
    <r>
      <rPr>
        <vertAlign val="subscript"/>
        <sz val="11"/>
        <color theme="1"/>
        <rFont val="Cambria"/>
        <family val="1"/>
      </rPr>
      <t>2</t>
    </r>
    <r>
      <rPr>
        <sz val="11"/>
        <color theme="1"/>
        <rFont val="Cambria"/>
        <family val="1"/>
      </rPr>
      <t>/carbon, Co</t>
    </r>
    <r>
      <rPr>
        <vertAlign val="subscript"/>
        <sz val="11"/>
        <color theme="1"/>
        <rFont val="Cambria"/>
        <family val="1"/>
      </rPr>
      <t>3</t>
    </r>
    <r>
      <rPr>
        <sz val="11"/>
        <color theme="1"/>
        <rFont val="Cambria"/>
        <family val="1"/>
      </rPr>
      <t>O</t>
    </r>
    <r>
      <rPr>
        <vertAlign val="subscript"/>
        <sz val="11"/>
        <color theme="1"/>
        <rFont val="Cambria"/>
        <family val="1"/>
      </rPr>
      <t>4</t>
    </r>
    <r>
      <rPr>
        <sz val="11"/>
        <color theme="1"/>
        <rFont val="Cambria"/>
        <family val="1"/>
      </rPr>
      <t xml:space="preserve">/CNF) tăng </t>
    </r>
    <r>
      <rPr>
        <b/>
        <u/>
        <sz val="11"/>
        <color rgb="FF002060"/>
        <rFont val="Cambria"/>
        <family val="1"/>
      </rPr>
      <t>độ nhạy</t>
    </r>
    <r>
      <rPr>
        <sz val="11"/>
        <color theme="1"/>
        <rFont val="Cambria"/>
        <family val="1"/>
      </rPr>
      <t xml:space="preserve"> cảm cho cảm biến. 
Cơ sở chọn: dựa trên ứng dụng (N cho ORR/CO</t>
    </r>
    <r>
      <rPr>
        <vertAlign val="subscript"/>
        <sz val="11"/>
        <color theme="1"/>
        <rFont val="Cambria"/>
        <family val="1"/>
      </rPr>
      <t>2</t>
    </r>
    <r>
      <rPr>
        <sz val="11"/>
        <color theme="1"/>
        <rFont val="Cambria"/>
        <family val="1"/>
      </rPr>
      <t>RR, kim loại cho sensing dopamine/Cd</t>
    </r>
    <r>
      <rPr>
        <vertAlign val="superscript"/>
        <sz val="11"/>
        <color theme="1"/>
        <rFont val="Cambria"/>
        <family val="1"/>
      </rPr>
      <t>2+</t>
    </r>
    <r>
      <rPr>
        <sz val="11"/>
        <color theme="1"/>
        <rFont val="Cambria"/>
        <family val="1"/>
      </rPr>
      <t>)</t>
    </r>
  </si>
  <si>
    <r>
      <t xml:space="preserve">1. Lựa chọn nguyên tố doping: 
</t>
    </r>
    <r>
      <rPr>
        <b/>
        <sz val="11"/>
        <color theme="1"/>
        <rFont val="Cambria"/>
        <family val="1"/>
      </rPr>
      <t xml:space="preserve">N và Fe </t>
    </r>
    <r>
      <rPr>
        <sz val="11"/>
        <color theme="1"/>
        <rFont val="Cambria"/>
        <family val="1"/>
      </rPr>
      <t xml:space="preserve">(N từ ammonia-urea + 1-5 wt% FeCl₃)
2. Ứng dụng phân tích: ion KL (chì kẽm cadimi), dopamine.
</t>
    </r>
    <r>
      <rPr>
        <b/>
        <sz val="11"/>
        <color rgb="FF002060"/>
        <rFont val="Cambria"/>
        <family val="1"/>
      </rPr>
      <t>3. Lý giải đặc tính giữa các loại nguyên tố tương tác, tỉ lệ doping vào hệ carbon aerogel</t>
    </r>
  </si>
  <si>
    <t>Fe(NO3)3(9H2O)</t>
  </si>
  <si>
    <t>g/mol</t>
  </si>
  <si>
    <t>mass</t>
  </si>
  <si>
    <t>FeCl3.6H2O</t>
  </si>
  <si>
    <t>Fe</t>
  </si>
  <si>
    <t>xơ dừa</t>
  </si>
  <si>
    <t>gram</t>
  </si>
  <si>
    <t>Khối lượng cân</t>
  </si>
  <si>
    <t>mg</t>
  </si>
  <si>
    <t>Fe dope</t>
  </si>
  <si>
    <r>
      <t>Fe(NO</t>
    </r>
    <r>
      <rPr>
        <vertAlign val="subscript"/>
        <sz val="11"/>
        <color theme="1"/>
        <rFont val="Calibri"/>
        <family val="2"/>
        <scheme val="minor"/>
      </rPr>
      <t>3</t>
    </r>
    <r>
      <rPr>
        <sz val="11"/>
        <color theme="1"/>
        <rFont val="Calibri"/>
        <family val="2"/>
        <scheme val="minor"/>
      </rPr>
      <t>)</t>
    </r>
    <r>
      <rPr>
        <vertAlign val="subscript"/>
        <sz val="11"/>
        <color theme="1"/>
        <rFont val="Calibri"/>
        <family val="2"/>
        <scheme val="minor"/>
      </rPr>
      <t>3</t>
    </r>
    <r>
      <rPr>
        <sz val="11"/>
        <color theme="1"/>
        <rFont val="Calibri"/>
        <family val="2"/>
        <scheme val="minor"/>
      </rPr>
      <t>(9H</t>
    </r>
    <r>
      <rPr>
        <vertAlign val="subscript"/>
        <sz val="11"/>
        <color theme="1"/>
        <rFont val="Calibri"/>
        <family val="2"/>
        <scheme val="minor"/>
      </rPr>
      <t>2</t>
    </r>
    <r>
      <rPr>
        <sz val="11"/>
        <color theme="1"/>
        <rFont val="Calibri"/>
        <family val="2"/>
        <scheme val="minor"/>
      </rPr>
      <t>O)</t>
    </r>
  </si>
  <si>
    <r>
      <t>FeCl</t>
    </r>
    <r>
      <rPr>
        <vertAlign val="subscript"/>
        <sz val="11"/>
        <color theme="1"/>
        <rFont val="Calibri"/>
        <family val="2"/>
        <scheme val="minor"/>
      </rPr>
      <t>3</t>
    </r>
    <r>
      <rPr>
        <sz val="11"/>
        <color theme="1"/>
        <rFont val="Calibri"/>
        <family val="2"/>
        <scheme val="minor"/>
      </rPr>
      <t>.6H</t>
    </r>
    <r>
      <rPr>
        <vertAlign val="subscript"/>
        <sz val="11"/>
        <color theme="1"/>
        <rFont val="Calibri"/>
        <family val="2"/>
        <scheme val="minor"/>
      </rPr>
      <t>2</t>
    </r>
    <r>
      <rPr>
        <sz val="11"/>
        <color theme="1"/>
        <rFont val="Calibri"/>
        <family val="2"/>
        <scheme val="minor"/>
      </rPr>
      <t>O</t>
    </r>
  </si>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</sst>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9" formatCode="#,##0.000"/>
  </numFmts>
  <fonts count="36">
    <font>
      <sz val="11"/>
      <color theme="1"/>
      <name val="Calibri"/>
      <family val="2"/>
      <scheme val="minor"/>
    </font>
    <font>
      <sz val="11"/>
      <color theme="1"/>
      <name val="Cambria"/>
      <family val="1"/>
    </font>
    <font>
      <b/>
      <sz val="11"/>
      <color theme="1"/>
      <name val="Cambria"/>
      <family val="1"/>
    </font>
    <font>
      <vertAlign val="subscript"/>
      <sz val="11"/>
      <color theme="1"/>
      <name val="Cambria"/>
      <family val="1"/>
    </font>
    <font>
      <sz val="11"/>
      <color theme="1"/>
      <name val="Aptos Narrow"/>
      <family val="2"/>
    </font>
    <font>
      <sz val="11"/>
      <color rgb="FF000000"/>
      <name val="Cambria"/>
      <family val="1"/>
    </font>
    <font>
      <b/>
      <sz val="11"/>
      <color rgb="FFEE0000"/>
      <name val="Cambria"/>
      <family val="1"/>
    </font>
    <font>
      <sz val="11"/>
      <color rgb="FF000000"/>
      <name val="Segoe UI Emoji"/>
      <family val="2"/>
    </font>
    <font>
      <sz val="8"/>
      <color rgb="FF303030"/>
      <name val="Google Sans Text"/>
    </font>
    <font>
      <sz val="10"/>
      <color rgb="FF303030"/>
      <name val="Google Sans Text"/>
    </font>
    <font>
      <b/>
      <sz val="10"/>
      <color rgb="FF303030"/>
      <name val="Cambria"/>
      <family val="1"/>
    </font>
    <font>
      <sz val="10"/>
      <color rgb="FF303030"/>
      <name val="Cambria"/>
      <family val="1"/>
    </font>
    <font>
      <i/>
      <sz val="10"/>
      <color rgb="FF303030"/>
      <name val="Cambria"/>
      <family val="1"/>
    </font>
    <font>
      <b/>
      <sz val="14"/>
      <color rgb="FF303030"/>
      <name val="Cambria"/>
      <family val="1"/>
    </font>
    <font>
      <b/>
      <sz val="14"/>
      <color theme="1"/>
      <name val="Cambria"/>
      <family val="1"/>
    </font>
    <font>
      <b/>
      <sz val="16"/>
      <color theme="1"/>
      <name val="Cambria"/>
      <family val="1"/>
    </font>
    <font>
      <b/>
      <u/>
      <sz val="11"/>
      <color theme="1"/>
      <name val="Cambria"/>
      <family val="1"/>
    </font>
    <font>
      <u/>
      <sz val="11"/>
      <color rgb="FF7030A0"/>
      <name val="Cambria"/>
      <family val="1"/>
    </font>
    <font>
      <u/>
      <sz val="11"/>
      <color theme="10"/>
      <name val="Calibri"/>
      <family val="2"/>
      <scheme val="minor"/>
    </font>
    <font>
      <sz val="12"/>
      <color theme="1"/>
      <name val="Cambria"/>
      <family val="1"/>
    </font>
    <font>
      <b/>
      <sz val="10"/>
      <color rgb="FFFF0000"/>
      <name val="Cambria"/>
      <family val="1"/>
    </font>
    <font>
      <b/>
      <vertAlign val="subscript"/>
      <sz val="10"/>
      <color rgb="FFFF0000"/>
      <name val="Cambria"/>
      <family val="1"/>
    </font>
    <font>
      <sz val="10"/>
      <color rgb="FFFF0000"/>
      <name val="Cambria"/>
      <family val="1"/>
    </font>
    <font>
      <b/>
      <vertAlign val="superscript"/>
      <sz val="10"/>
      <color rgb="FFFF0000"/>
      <name val="Cambria"/>
      <family val="1"/>
    </font>
    <font>
      <b/>
      <i/>
      <sz val="10"/>
      <color rgb="FF303030"/>
      <name val="Cambria"/>
      <family val="1"/>
    </font>
    <font>
      <b/>
      <u/>
      <sz val="10"/>
      <color rgb="FF303030"/>
      <name val="Cambria"/>
      <family val="1"/>
    </font>
    <font>
      <u/>
      <sz val="11"/>
      <color theme="10"/>
      <name val="Cambria"/>
      <family val="1"/>
    </font>
    <font>
      <i/>
      <u/>
      <sz val="10"/>
      <color rgb="FF303030"/>
      <name val="Cambria"/>
      <family val="1"/>
    </font>
    <font>
      <b/>
      <u/>
      <sz val="11"/>
      <color rgb="FF002060"/>
      <name val="Cambria"/>
      <family val="1"/>
    </font>
    <font>
      <b/>
      <sz val="11"/>
      <color rgb="FF002060"/>
      <name val="Cambria"/>
      <family val="1"/>
    </font>
    <font>
      <sz val="10"/>
      <color theme="1"/>
      <name val="Georgia"/>
      <family val="1"/>
    </font>
    <font>
      <sz val="10"/>
      <color theme="1"/>
      <name val="Georgia"/>
      <family val="1"/>
    </font>
    <font>
      <sz val="12"/>
      <color rgb="FF303030"/>
      <name val="Cambria"/>
      <family val="1"/>
    </font>
    <font>
      <i/>
      <sz val="11"/>
      <color theme="1"/>
      <name val="Cambria"/>
      <family val="1"/>
    </font>
    <font>
      <vertAlign val="superscript"/>
      <sz val="11"/>
      <color theme="1"/>
      <name val="Cambria"/>
      <family val="1"/>
    </font>
    <font>
      <vertAlign val="subscript"/>
      <sz val="11"/>
      <color theme="1"/>
      <name val="Calibri"/>
      <family val="2"/>
      <scheme val="minor"/>
    </font>
  </fonts>
  <fills count="6">
    <fill>
      <patternFill patternType="none"/>
    </fill>
    <fill>
      <patternFill patternType="gray125"/>
    </fill>
    <fill>
      <patternFill patternType="solid">
        <fgColor rgb="FFF2F2F2"/>
        <bgColor indexed="64"/>
      </patternFill>
    </fill>
    <fill>
      <patternFill patternType="solid">
        <fgColor rgb="FFFFFFFF"/>
        <bgColor indexed="64"/>
      </patternFill>
    </fill>
    <fill>
      <patternFill patternType="solid">
        <fgColor rgb="FFFFFF00"/>
        <bgColor indexed="64"/>
      </patternFill>
    </fill>
    <fill>
      <patternFill patternType="solid">
        <fgColor theme="3" tint="0.79998168889431442"/>
        <bgColor indexed="64"/>
      </patternFill>
    </fill>
  </fills>
  <borders count="13">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right style="medium">
        <color rgb="FF000000"/>
      </right>
      <top style="medium">
        <color rgb="FF000000"/>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18" fillId="0" borderId="0" applyNumberFormat="0" applyFill="0" applyBorder="0" applyAlignment="0" applyProtection="0"/>
  </cellStyleXfs>
  <cellXfs count="99">
    <xf numFmtId="0" fontId="0" fillId="0" borderId="0" xfId="0"/>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1" fillId="0" borderId="5"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vertical="center" wrapText="1"/>
    </xf>
    <xf numFmtId="0" fontId="0" fillId="0" borderId="5" xfId="0" applyBorder="1" applyAlignment="1">
      <alignment vertical="center" wrapText="1"/>
    </xf>
    <xf numFmtId="0" fontId="1" fillId="0" borderId="4" xfId="0" applyFont="1" applyBorder="1" applyAlignment="1">
      <alignment horizontal="left" vertical="center" wrapText="1"/>
    </xf>
    <xf numFmtId="0" fontId="8" fillId="0" borderId="0" xfId="0" applyFont="1"/>
    <xf numFmtId="0" fontId="9" fillId="0" borderId="0" xfId="0" applyFont="1"/>
    <xf numFmtId="0" fontId="10" fillId="3" borderId="6" xfId="0" applyFont="1" applyFill="1" applyBorder="1" applyAlignment="1">
      <alignment horizontal="center" vertical="center" wrapText="1"/>
    </xf>
    <xf numFmtId="0" fontId="10" fillId="3" borderId="6" xfId="0" applyFont="1" applyFill="1" applyBorder="1" applyAlignment="1">
      <alignment vertical="center" wrapText="1"/>
    </xf>
    <xf numFmtId="0" fontId="11" fillId="3" borderId="6" xfId="0" applyFont="1" applyFill="1" applyBorder="1" applyAlignment="1">
      <alignment vertical="center" wrapText="1"/>
    </xf>
    <xf numFmtId="0" fontId="10" fillId="3" borderId="6" xfId="0" applyFont="1" applyFill="1" applyBorder="1" applyAlignment="1">
      <alignment horizontal="left" vertical="center" wrapText="1"/>
    </xf>
    <xf numFmtId="0" fontId="11" fillId="3" borderId="6" xfId="0" applyFont="1" applyFill="1" applyBorder="1" applyAlignment="1">
      <alignment horizontal="left" vertical="center" wrapText="1"/>
    </xf>
    <xf numFmtId="0" fontId="13" fillId="0" borderId="0" xfId="0" applyFont="1"/>
    <xf numFmtId="0" fontId="1" fillId="0" borderId="0" xfId="0" applyFont="1"/>
    <xf numFmtId="0" fontId="1" fillId="0" borderId="0" xfId="0" applyFont="1" applyAlignment="1">
      <alignment wrapText="1"/>
    </xf>
    <xf numFmtId="0" fontId="1" fillId="0" borderId="0" xfId="0" applyFont="1" applyAlignment="1">
      <alignment vertical="center"/>
    </xf>
    <xf numFmtId="0" fontId="1" fillId="0" borderId="0" xfId="0" applyFont="1" applyAlignment="1">
      <alignment vertical="center" wrapText="1"/>
    </xf>
    <xf numFmtId="0" fontId="14" fillId="0" borderId="0" xfId="0" applyFont="1"/>
    <xf numFmtId="0" fontId="15" fillId="0" borderId="0" xfId="0" applyFont="1"/>
    <xf numFmtId="0" fontId="1" fillId="0" borderId="0" xfId="0" applyFont="1" applyAlignment="1">
      <alignment horizontal="left" vertical="center" wrapText="1"/>
    </xf>
    <xf numFmtId="0" fontId="1" fillId="0" borderId="0" xfId="0" applyFont="1" applyAlignment="1">
      <alignment horizontal="left" vertical="center"/>
    </xf>
    <xf numFmtId="0" fontId="1" fillId="0" borderId="0" xfId="0" applyFont="1" applyAlignment="1">
      <alignment horizontal="left"/>
    </xf>
    <xf numFmtId="0" fontId="1" fillId="0" borderId="6" xfId="0" applyFont="1" applyBorder="1" applyAlignment="1">
      <alignment horizontal="left" vertical="center"/>
    </xf>
    <xf numFmtId="0" fontId="1" fillId="0" borderId="6" xfId="0" applyFont="1" applyBorder="1" applyAlignment="1">
      <alignment vertical="center" wrapText="1"/>
    </xf>
    <xf numFmtId="0" fontId="1" fillId="0" borderId="6" xfId="0" applyFont="1" applyBorder="1" applyAlignment="1">
      <alignment wrapText="1"/>
    </xf>
    <xf numFmtId="0" fontId="1" fillId="0" borderId="6" xfId="0" quotePrefix="1" applyFont="1" applyBorder="1" applyAlignment="1">
      <alignment vertical="center" wrapText="1"/>
    </xf>
    <xf numFmtId="0" fontId="1" fillId="0" borderId="6" xfId="0" applyFont="1" applyBorder="1" applyAlignment="1">
      <alignment horizontal="center" vertical="center"/>
    </xf>
    <xf numFmtId="0" fontId="1" fillId="0" borderId="6" xfId="0" applyFont="1" applyBorder="1" applyAlignment="1">
      <alignment horizontal="left" vertical="center" wrapText="1"/>
    </xf>
    <xf numFmtId="0" fontId="1" fillId="0" borderId="0" xfId="0" quotePrefix="1" applyFont="1" applyAlignment="1">
      <alignment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1" fillId="4" borderId="6" xfId="0" applyFont="1" applyFill="1" applyBorder="1" applyAlignment="1">
      <alignment horizontal="left" vertical="center" wrapText="1"/>
    </xf>
    <xf numFmtId="0" fontId="19" fillId="0" borderId="0" xfId="0" applyFont="1"/>
    <xf numFmtId="0" fontId="10" fillId="4" borderId="6" xfId="0" applyFont="1" applyFill="1" applyBorder="1" applyAlignment="1">
      <alignment horizontal="center" vertical="center" wrapText="1"/>
    </xf>
    <xf numFmtId="0" fontId="11" fillId="3" borderId="6" xfId="0" quotePrefix="1" applyFont="1" applyFill="1" applyBorder="1" applyAlignment="1">
      <alignment vertical="center" wrapText="1"/>
    </xf>
    <xf numFmtId="0" fontId="11" fillId="3" borderId="6" xfId="0" applyFont="1" applyFill="1" applyBorder="1" applyAlignment="1">
      <alignment horizontal="center" vertical="center" wrapText="1"/>
    </xf>
    <xf numFmtId="0" fontId="12" fillId="3" borderId="6" xfId="0" applyFont="1" applyFill="1" applyBorder="1" applyAlignment="1">
      <alignment horizontal="left" vertical="center" wrapText="1"/>
    </xf>
    <xf numFmtId="0" fontId="2" fillId="2" borderId="6" xfId="0" applyFont="1" applyFill="1" applyBorder="1" applyAlignment="1">
      <alignment horizontal="center" vertical="center" wrapText="1"/>
    </xf>
    <xf numFmtId="0" fontId="2" fillId="0" borderId="6" xfId="0" applyFont="1" applyBorder="1" applyAlignment="1">
      <alignment horizontal="center" vertical="center" wrapText="1"/>
    </xf>
    <xf numFmtId="0" fontId="1" fillId="0" borderId="6" xfId="0" applyFont="1" applyBorder="1" applyAlignment="1">
      <alignment horizontal="center" vertical="center" wrapText="1"/>
    </xf>
    <xf numFmtId="0" fontId="2" fillId="4" borderId="6" xfId="0" applyFont="1" applyFill="1" applyBorder="1" applyAlignment="1">
      <alignment horizontal="center" vertical="center" wrapText="1"/>
    </xf>
    <xf numFmtId="0" fontId="1" fillId="4" borderId="6" xfId="0" applyFont="1" applyFill="1" applyBorder="1" applyAlignment="1">
      <alignment horizontal="center" vertical="center" wrapText="1"/>
    </xf>
    <xf numFmtId="0" fontId="26" fillId="4" borderId="6" xfId="1" applyFont="1" applyFill="1" applyBorder="1" applyAlignment="1">
      <alignment horizontal="center" vertical="center" wrapText="1"/>
    </xf>
    <xf numFmtId="0" fontId="5" fillId="5" borderId="4" xfId="0" applyFont="1" applyFill="1" applyBorder="1" applyAlignment="1">
      <alignment horizontal="left" vertical="center" wrapText="1"/>
    </xf>
    <xf numFmtId="0" fontId="5" fillId="5" borderId="5" xfId="0" applyFont="1" applyFill="1" applyBorder="1" applyAlignment="1">
      <alignment vertical="center" wrapText="1"/>
    </xf>
    <xf numFmtId="0" fontId="5" fillId="5" borderId="3" xfId="0" applyFont="1" applyFill="1" applyBorder="1" applyAlignment="1">
      <alignment vertical="center" wrapText="1"/>
    </xf>
    <xf numFmtId="0" fontId="7" fillId="5" borderId="3" xfId="0" applyFont="1" applyFill="1" applyBorder="1" applyAlignment="1">
      <alignment vertical="center" wrapText="1"/>
    </xf>
    <xf numFmtId="0" fontId="0" fillId="5" borderId="3" xfId="0" applyFill="1" applyBorder="1" applyAlignment="1">
      <alignment vertical="center" wrapText="1"/>
    </xf>
    <xf numFmtId="0" fontId="1" fillId="0" borderId="12" xfId="0" applyFont="1" applyBorder="1" applyAlignment="1">
      <alignment horizontal="center" vertical="center"/>
    </xf>
    <xf numFmtId="0" fontId="1" fillId="0" borderId="12" xfId="0" applyFont="1" applyBorder="1" applyAlignment="1">
      <alignment horizontal="left" vertical="center" wrapText="1"/>
    </xf>
    <xf numFmtId="0" fontId="1" fillId="0" borderId="12" xfId="0" quotePrefix="1" applyFont="1" applyBorder="1" applyAlignment="1">
      <alignment vertical="center" wrapText="1"/>
    </xf>
    <xf numFmtId="0" fontId="2" fillId="0" borderId="6" xfId="0" applyFont="1" applyBorder="1" applyAlignment="1">
      <alignment horizontal="center" vertical="center"/>
    </xf>
    <xf numFmtId="0" fontId="1" fillId="0" borderId="0" xfId="0" applyFont="1" applyAlignment="1">
      <alignment horizontal="center" vertical="center"/>
    </xf>
    <xf numFmtId="0" fontId="31" fillId="0" borderId="0" xfId="0" applyFont="1" applyAlignment="1">
      <alignment horizontal="left" vertical="center" wrapText="1" indent="1"/>
    </xf>
    <xf numFmtId="0" fontId="0" fillId="0" borderId="0" xfId="0" applyAlignment="1">
      <alignment horizontal="left" vertical="center" wrapText="1" indent="1"/>
    </xf>
    <xf numFmtId="0" fontId="10" fillId="5" borderId="6" xfId="0" applyFont="1" applyFill="1" applyBorder="1" applyAlignment="1">
      <alignment horizontal="center" vertical="center" wrapText="1"/>
    </xf>
    <xf numFmtId="0" fontId="1" fillId="0" borderId="7" xfId="0" applyFont="1" applyBorder="1" applyAlignment="1">
      <alignment horizontal="center" wrapText="1"/>
    </xf>
    <xf numFmtId="0" fontId="17" fillId="0" borderId="7" xfId="0" applyFont="1" applyBorder="1" applyAlignment="1">
      <alignment wrapText="1"/>
    </xf>
    <xf numFmtId="0" fontId="1" fillId="0" borderId="4" xfId="0" applyFont="1" applyBorder="1" applyAlignment="1">
      <alignment horizontal="center" vertical="center" wrapText="1"/>
    </xf>
    <xf numFmtId="0" fontId="1" fillId="0" borderId="2" xfId="0" applyFont="1" applyBorder="1" applyAlignment="1">
      <alignment horizontal="center" vertical="center" wrapText="1"/>
    </xf>
    <xf numFmtId="0" fontId="1" fillId="0" borderId="1" xfId="0" applyFont="1" applyBorder="1" applyAlignment="1">
      <alignment vertical="center" wrapText="1"/>
    </xf>
    <xf numFmtId="0" fontId="1" fillId="0" borderId="4" xfId="0" applyFont="1" applyBorder="1" applyAlignment="1">
      <alignment vertical="center" wrapText="1"/>
    </xf>
    <xf numFmtId="0" fontId="1" fillId="0" borderId="2" xfId="0" applyFont="1" applyBorder="1" applyAlignment="1">
      <alignment vertical="center" wrapText="1"/>
    </xf>
    <xf numFmtId="0" fontId="5" fillId="5" borderId="1" xfId="0" applyFont="1" applyFill="1" applyBorder="1" applyAlignment="1">
      <alignment vertical="center" wrapText="1"/>
    </xf>
    <xf numFmtId="0" fontId="5" fillId="5" borderId="4" xfId="0" applyFont="1" applyFill="1" applyBorder="1" applyAlignment="1">
      <alignment vertical="center" wrapText="1"/>
    </xf>
    <xf numFmtId="0" fontId="5" fillId="5" borderId="2" xfId="0" applyFont="1" applyFill="1" applyBorder="1" applyAlignment="1">
      <alignment vertical="center" wrapText="1"/>
    </xf>
    <xf numFmtId="0" fontId="5" fillId="5" borderId="4" xfId="0" applyFont="1" applyFill="1" applyBorder="1" applyAlignment="1">
      <alignment horizontal="center" vertical="center" wrapText="1"/>
    </xf>
    <xf numFmtId="0" fontId="5" fillId="5" borderId="2" xfId="0" applyFont="1" applyFill="1" applyBorder="1" applyAlignment="1">
      <alignment horizontal="center" vertical="center" wrapText="1"/>
    </xf>
    <xf numFmtId="0" fontId="1" fillId="0" borderId="4" xfId="0" applyFont="1" applyBorder="1" applyAlignment="1">
      <alignment horizontal="left" vertical="center" wrapText="1"/>
    </xf>
    <xf numFmtId="0" fontId="1" fillId="0" borderId="2" xfId="0" applyFont="1" applyBorder="1" applyAlignment="1">
      <alignment horizontal="left"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10" fillId="3" borderId="10" xfId="0" applyFont="1" applyFill="1" applyBorder="1" applyAlignment="1">
      <alignment horizontal="center" vertical="center" wrapText="1"/>
    </xf>
    <xf numFmtId="0" fontId="10" fillId="3" borderId="11" xfId="0" applyFont="1" applyFill="1" applyBorder="1" applyAlignment="1">
      <alignment horizontal="center" vertical="center" wrapText="1"/>
    </xf>
    <xf numFmtId="0" fontId="10" fillId="3" borderId="12" xfId="0" applyFont="1" applyFill="1" applyBorder="1" applyAlignment="1">
      <alignment horizontal="center" vertical="center" wrapText="1"/>
    </xf>
    <xf numFmtId="0" fontId="13" fillId="0" borderId="0" xfId="0" applyFont="1" applyAlignment="1">
      <alignment horizontal="left" vertical="center" wrapText="1"/>
    </xf>
    <xf numFmtId="0" fontId="0" fillId="0" borderId="0" xfId="0" applyAlignment="1">
      <alignment horizontal="left" vertical="center" wrapText="1"/>
    </xf>
    <xf numFmtId="0" fontId="1" fillId="0" borderId="0" xfId="0" applyFont="1" applyAlignment="1">
      <alignment horizontal="left" vertical="center" wrapText="1"/>
    </xf>
    <xf numFmtId="0" fontId="2" fillId="0" borderId="6" xfId="0" applyFont="1" applyBorder="1" applyAlignment="1">
      <alignment horizontal="center" vertical="center"/>
    </xf>
    <xf numFmtId="0" fontId="1" fillId="0" borderId="6" xfId="0" applyFont="1" applyBorder="1" applyAlignment="1">
      <alignment horizontal="center" vertical="center"/>
    </xf>
    <xf numFmtId="0" fontId="1" fillId="0" borderId="0" xfId="0" applyFont="1" applyAlignment="1">
      <alignment horizontal="left"/>
    </xf>
    <xf numFmtId="0" fontId="1" fillId="0" borderId="6" xfId="0" applyFont="1" applyBorder="1" applyAlignment="1">
      <alignment horizontal="left" vertical="center" wrapText="1"/>
    </xf>
    <xf numFmtId="0" fontId="1" fillId="0" borderId="6" xfId="0" applyFont="1" applyBorder="1" applyAlignment="1">
      <alignment horizontal="left" vertical="center"/>
    </xf>
    <xf numFmtId="0" fontId="1" fillId="0" borderId="0" xfId="0" quotePrefix="1" applyFont="1" applyAlignment="1">
      <alignment horizontal="left" vertical="center" wrapText="1"/>
    </xf>
    <xf numFmtId="0" fontId="0" fillId="0" borderId="0" xfId="0" applyAlignment="1">
      <alignment horizontal="center" vertical="center"/>
    </xf>
    <xf numFmtId="0" fontId="0" fillId="0" borderId="0" xfId="0" applyAlignment="1">
      <alignment horizontal="center"/>
    </xf>
    <xf numFmtId="0" fontId="0" fillId="0" borderId="0" xfId="0" applyAlignment="1">
      <alignment horizontal="right"/>
    </xf>
    <xf numFmtId="169" fontId="0" fillId="0" borderId="0" xfId="0" applyNumberFormat="1" applyAlignment="1">
      <alignment horizontal="center" vertical="center"/>
    </xf>
    <xf numFmtId="2" fontId="0" fillId="0" borderId="0" xfId="0" applyNumberFormat="1" applyAlignment="1">
      <alignment horizontal="center"/>
    </xf>
    <xf numFmtId="169" fontId="0" fillId="0" borderId="0" xfId="0" applyNumberFormat="1" applyAlignment="1">
      <alignment horizontal="center"/>
    </xf>
    <xf numFmtId="0" fontId="0" fillId="0" borderId="6" xfId="0" applyBorder="1"/>
    <xf numFmtId="0" fontId="0" fillId="0" borderId="6" xfId="0" applyBorder="1" applyAlignment="1">
      <alignment horizontal="center" vertical="center"/>
    </xf>
    <xf numFmtId="0" fontId="0" fillId="0" borderId="6" xfId="0" applyBorder="1" applyAlignment="1">
      <alignment horizontal="center"/>
    </xf>
    <xf numFmtId="9" fontId="0" fillId="0" borderId="6" xfId="0" applyNumberFormat="1" applyBorder="1" applyAlignment="1">
      <alignment horizontal="center" vertical="center"/>
    </xf>
    <xf numFmtId="0" fontId="0" fillId="0" borderId="10" xfId="0" applyBorder="1" applyAlignment="1">
      <alignment horizontal="center" vertical="center"/>
    </xf>
    <xf numFmtId="0" fontId="0" fillId="0" borderId="12" xfId="0"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pmc.ncbi.nlm.nih.gov/articles/PMC11086316/"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pubs.acs.org/doi/abs/10.1021/acs.iecr.0c03771" TargetMode="External"/><Relationship Id="rId2" Type="http://schemas.openxmlformats.org/officeDocument/2006/relationships/hyperlink" Target="https://pmc.ncbi.nlm.nih.gov/articles/PMC10976374/" TargetMode="External"/><Relationship Id="rId1" Type="http://schemas.openxmlformats.org/officeDocument/2006/relationships/hyperlink" Target="https://pmc.ncbi.nlm.nih.gov/articles/PMC10976374/" TargetMode="External"/><Relationship Id="rId4" Type="http://schemas.openxmlformats.org/officeDocument/2006/relationships/hyperlink" Target="https://pmc.ncbi.nlm.nih.gov/articles/PMC10976374/"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8D325-2905-4CD6-A221-0E449E126014}">
  <dimension ref="B2:L44"/>
  <sheetViews>
    <sheetView topLeftCell="A16" workbookViewId="0">
      <selection activeCell="C31" sqref="C31"/>
    </sheetView>
  </sheetViews>
  <sheetFormatPr defaultColWidth="30.5546875" defaultRowHeight="14.4"/>
  <cols>
    <col min="1" max="1" width="2.33203125" customWidth="1"/>
    <col min="2" max="2" width="27.6640625" customWidth="1"/>
    <col min="3" max="3" width="35.44140625" customWidth="1"/>
    <col min="4" max="4" width="45.5546875" customWidth="1"/>
    <col min="5" max="5" width="52.5546875" customWidth="1"/>
    <col min="6" max="6" width="41.6640625" customWidth="1"/>
  </cols>
  <sheetData>
    <row r="2" spans="2:12" ht="17.399999999999999">
      <c r="B2" s="20" t="s">
        <v>210</v>
      </c>
    </row>
    <row r="3" spans="2:12" ht="15.6">
      <c r="B3" s="35" t="s">
        <v>209</v>
      </c>
    </row>
    <row r="4" spans="2:12" ht="15.6">
      <c r="B4" s="35"/>
    </row>
    <row r="5" spans="2:12" ht="17.399999999999999">
      <c r="B5" s="15" t="s">
        <v>211</v>
      </c>
    </row>
    <row r="6" spans="2:12" ht="57" customHeight="1">
      <c r="B6" s="78" t="s">
        <v>291</v>
      </c>
      <c r="C6" s="78"/>
      <c r="D6" s="78"/>
      <c r="E6" s="78"/>
      <c r="F6" s="78"/>
    </row>
    <row r="7" spans="2:12">
      <c r="C7" s="9"/>
      <c r="D7" s="9"/>
      <c r="E7" s="9"/>
      <c r="F7" s="8"/>
      <c r="G7" s="8"/>
      <c r="H7" s="8"/>
      <c r="I7" s="8"/>
      <c r="J7" s="8"/>
      <c r="K7" s="8"/>
      <c r="L7" s="8"/>
    </row>
    <row r="8" spans="2:12">
      <c r="B8" s="58" t="s">
        <v>1</v>
      </c>
      <c r="C8" s="58" t="s">
        <v>206</v>
      </c>
      <c r="D8" s="58" t="s">
        <v>133</v>
      </c>
      <c r="E8" s="58" t="s">
        <v>215</v>
      </c>
      <c r="F8" s="58" t="s">
        <v>134</v>
      </c>
    </row>
    <row r="9" spans="2:12" ht="39.6">
      <c r="B9" s="11" t="s">
        <v>135</v>
      </c>
      <c r="C9" s="12" t="s">
        <v>136</v>
      </c>
      <c r="D9" s="13" t="s">
        <v>146</v>
      </c>
      <c r="E9" s="14" t="s">
        <v>218</v>
      </c>
      <c r="F9" s="14" t="s">
        <v>137</v>
      </c>
    </row>
    <row r="10" spans="2:12" ht="39.6">
      <c r="B10" s="11" t="s">
        <v>138</v>
      </c>
      <c r="C10" s="12" t="s">
        <v>139</v>
      </c>
      <c r="D10" s="13" t="s">
        <v>147</v>
      </c>
      <c r="E10" s="34" t="s">
        <v>217</v>
      </c>
      <c r="F10" s="34" t="s">
        <v>207</v>
      </c>
    </row>
    <row r="11" spans="2:12" ht="39.6">
      <c r="B11" s="11" t="s">
        <v>140</v>
      </c>
      <c r="C11" s="12" t="s">
        <v>141</v>
      </c>
      <c r="D11" s="13" t="s">
        <v>148</v>
      </c>
      <c r="E11" s="34" t="s">
        <v>216</v>
      </c>
      <c r="F11" s="34" t="s">
        <v>142</v>
      </c>
    </row>
    <row r="12" spans="2:12" ht="39.6">
      <c r="B12" s="11" t="s">
        <v>143</v>
      </c>
      <c r="C12" s="12" t="s">
        <v>149</v>
      </c>
      <c r="D12" s="13" t="s">
        <v>150</v>
      </c>
      <c r="E12" s="39" t="s">
        <v>220</v>
      </c>
      <c r="F12" s="14" t="s">
        <v>144</v>
      </c>
    </row>
    <row r="13" spans="2:12" ht="52.8">
      <c r="B13" s="11" t="s">
        <v>282</v>
      </c>
      <c r="C13" s="12" t="s">
        <v>284</v>
      </c>
      <c r="D13" s="13" t="s">
        <v>283</v>
      </c>
      <c r="E13" s="39" t="s">
        <v>285</v>
      </c>
      <c r="F13" s="14" t="s">
        <v>286</v>
      </c>
    </row>
    <row r="14" spans="2:12" ht="66">
      <c r="B14" s="11" t="s">
        <v>222</v>
      </c>
      <c r="C14" s="12" t="s">
        <v>223</v>
      </c>
      <c r="D14" s="13" t="s">
        <v>151</v>
      </c>
      <c r="E14" s="14" t="s">
        <v>236</v>
      </c>
      <c r="F14" s="14" t="s">
        <v>145</v>
      </c>
    </row>
    <row r="16" spans="2:12" ht="17.399999999999999">
      <c r="B16" s="15" t="s">
        <v>281</v>
      </c>
    </row>
    <row r="18" spans="2:5" ht="17.399999999999999">
      <c r="B18" s="15" t="s">
        <v>278</v>
      </c>
    </row>
    <row r="20" spans="2:5">
      <c r="B20" s="10" t="s">
        <v>189</v>
      </c>
      <c r="C20" s="10" t="s">
        <v>190</v>
      </c>
      <c r="D20" s="10" t="s">
        <v>191</v>
      </c>
      <c r="E20" s="10" t="s">
        <v>192</v>
      </c>
    </row>
    <row r="21" spans="2:5" ht="54">
      <c r="B21" s="10" t="s">
        <v>193</v>
      </c>
      <c r="C21" s="36" t="s">
        <v>194</v>
      </c>
      <c r="D21" s="37" t="s">
        <v>213</v>
      </c>
      <c r="E21" s="12" t="s">
        <v>195</v>
      </c>
    </row>
    <row r="22" spans="2:5" ht="39.6">
      <c r="B22" s="75" t="s">
        <v>196</v>
      </c>
      <c r="C22" s="10" t="s">
        <v>197</v>
      </c>
      <c r="D22" s="37" t="s">
        <v>204</v>
      </c>
      <c r="E22" s="12" t="s">
        <v>214</v>
      </c>
    </row>
    <row r="23" spans="2:5" ht="26.4">
      <c r="B23" s="76"/>
      <c r="C23" s="38" t="s">
        <v>198</v>
      </c>
      <c r="D23" s="12" t="s">
        <v>199</v>
      </c>
      <c r="E23" s="12" t="s">
        <v>200</v>
      </c>
    </row>
    <row r="24" spans="2:5" ht="26.4">
      <c r="B24" s="76"/>
      <c r="C24" s="38" t="s">
        <v>201</v>
      </c>
      <c r="D24" s="37" t="s">
        <v>205</v>
      </c>
      <c r="E24" s="12" t="s">
        <v>202</v>
      </c>
    </row>
    <row r="25" spans="2:5" ht="81.599999999999994">
      <c r="B25" s="77"/>
      <c r="C25" s="36" t="s">
        <v>277</v>
      </c>
      <c r="D25" s="37" t="s">
        <v>292</v>
      </c>
      <c r="E25" s="12" t="s">
        <v>203</v>
      </c>
    </row>
    <row r="27" spans="2:5" ht="17.399999999999999">
      <c r="B27" s="15" t="s">
        <v>279</v>
      </c>
    </row>
    <row r="29" spans="2:5">
      <c r="B29" s="40" t="s">
        <v>224</v>
      </c>
      <c r="C29" s="40" t="s">
        <v>225</v>
      </c>
      <c r="D29" s="40" t="s">
        <v>226</v>
      </c>
      <c r="E29" s="40" t="s">
        <v>227</v>
      </c>
    </row>
    <row r="30" spans="2:5">
      <c r="B30" s="43" t="s">
        <v>228</v>
      </c>
      <c r="C30" s="44" t="s">
        <v>229</v>
      </c>
      <c r="D30" s="43" t="s">
        <v>230</v>
      </c>
      <c r="E30" s="45" t="s">
        <v>231</v>
      </c>
    </row>
    <row r="31" spans="2:5">
      <c r="B31" s="41" t="s">
        <v>232</v>
      </c>
      <c r="C31" s="42" t="s">
        <v>233</v>
      </c>
      <c r="D31" s="41" t="s">
        <v>234</v>
      </c>
      <c r="E31" s="42" t="s">
        <v>235</v>
      </c>
    </row>
    <row r="33" spans="2:6" ht="17.399999999999999">
      <c r="B33" s="15" t="s">
        <v>280</v>
      </c>
    </row>
    <row r="34" spans="2:6">
      <c r="B34" s="41" t="s">
        <v>237</v>
      </c>
      <c r="C34" s="41" t="s">
        <v>238</v>
      </c>
      <c r="D34" s="41" t="s">
        <v>239</v>
      </c>
      <c r="E34" s="41" t="s">
        <v>240</v>
      </c>
      <c r="F34" s="41" t="s">
        <v>241</v>
      </c>
    </row>
    <row r="35" spans="2:6">
      <c r="B35" s="26" t="s">
        <v>242</v>
      </c>
      <c r="C35" s="42" t="s">
        <v>243</v>
      </c>
      <c r="D35" s="42" t="s">
        <v>244</v>
      </c>
      <c r="E35" s="26" t="s">
        <v>276</v>
      </c>
      <c r="F35" s="26" t="s">
        <v>245</v>
      </c>
    </row>
    <row r="36" spans="2:6">
      <c r="B36" s="26" t="s">
        <v>246</v>
      </c>
      <c r="C36" s="42" t="s">
        <v>247</v>
      </c>
      <c r="D36" s="42" t="s">
        <v>248</v>
      </c>
      <c r="E36" s="26" t="s">
        <v>249</v>
      </c>
      <c r="F36" s="26" t="s">
        <v>250</v>
      </c>
    </row>
    <row r="37" spans="2:6">
      <c r="B37" s="26" t="s">
        <v>251</v>
      </c>
      <c r="C37" s="42" t="s">
        <v>252</v>
      </c>
      <c r="D37" s="42" t="s">
        <v>248</v>
      </c>
      <c r="E37" s="26" t="s">
        <v>253</v>
      </c>
      <c r="F37" s="26" t="s">
        <v>254</v>
      </c>
    </row>
    <row r="38" spans="2:6">
      <c r="B38" s="26" t="s">
        <v>255</v>
      </c>
      <c r="C38" s="42" t="s">
        <v>256</v>
      </c>
      <c r="D38" s="42" t="s">
        <v>257</v>
      </c>
      <c r="E38" s="26" t="s">
        <v>258</v>
      </c>
      <c r="F38" s="26" t="s">
        <v>259</v>
      </c>
    </row>
    <row r="39" spans="2:6">
      <c r="B39" s="16"/>
      <c r="C39" s="16"/>
      <c r="D39" s="16"/>
      <c r="E39" s="16"/>
      <c r="F39" s="16"/>
    </row>
    <row r="40" spans="2:6">
      <c r="B40" s="16"/>
      <c r="C40" s="16"/>
      <c r="D40" s="16"/>
      <c r="E40" s="16"/>
      <c r="F40" s="16"/>
    </row>
    <row r="41" spans="2:6">
      <c r="B41" s="41" t="s">
        <v>260</v>
      </c>
      <c r="C41" s="41" t="s">
        <v>261</v>
      </c>
      <c r="D41" s="41" t="s">
        <v>262</v>
      </c>
      <c r="E41" s="41" t="s">
        <v>263</v>
      </c>
      <c r="F41" s="16"/>
    </row>
    <row r="42" spans="2:6">
      <c r="B42" s="26" t="s">
        <v>264</v>
      </c>
      <c r="C42" s="26" t="s">
        <v>265</v>
      </c>
      <c r="D42" s="26" t="s">
        <v>266</v>
      </c>
      <c r="E42" s="26" t="s">
        <v>267</v>
      </c>
      <c r="F42" s="16"/>
    </row>
    <row r="43" spans="2:6">
      <c r="B43" s="26" t="s">
        <v>268</v>
      </c>
      <c r="C43" s="26" t="s">
        <v>269</v>
      </c>
      <c r="D43" s="26" t="s">
        <v>270</v>
      </c>
      <c r="E43" s="26" t="s">
        <v>271</v>
      </c>
      <c r="F43" s="16"/>
    </row>
    <row r="44" spans="2:6">
      <c r="B44" s="26" t="s">
        <v>272</v>
      </c>
      <c r="C44" s="26" t="s">
        <v>273</v>
      </c>
      <c r="D44" s="26" t="s">
        <v>274</v>
      </c>
      <c r="E44" s="26" t="s">
        <v>275</v>
      </c>
      <c r="F44" s="16"/>
    </row>
  </sheetData>
  <mergeCells count="2">
    <mergeCell ref="B22:B25"/>
    <mergeCell ref="B6:F6"/>
  </mergeCells>
  <hyperlinks>
    <hyperlink ref="E30" r:id="rId1" display="https://pmc.ncbi.nlm.nih.gov/articles/PMC11086316/" xr:uid="{06A8ED08-9A5A-46E5-B2D5-DEAB1E52E9A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3FEEC-782A-4DBE-B3E6-2F8864A805B0}">
  <dimension ref="B1:H40"/>
  <sheetViews>
    <sheetView topLeftCell="A25" zoomScale="85" zoomScaleNormal="85" workbookViewId="0">
      <selection activeCell="D22" sqref="D22"/>
    </sheetView>
  </sheetViews>
  <sheetFormatPr defaultRowHeight="13.8"/>
  <cols>
    <col min="1" max="1" width="1.88671875" style="16" customWidth="1"/>
    <col min="2" max="2" width="4.5546875" style="16" customWidth="1"/>
    <col min="3" max="3" width="23.77734375" style="16" customWidth="1"/>
    <col min="4" max="4" width="96.6640625" style="16" customWidth="1"/>
    <col min="5" max="5" width="1.33203125" style="16" hidden="1" customWidth="1"/>
    <col min="6" max="6" width="24.33203125" style="16" customWidth="1"/>
    <col min="7" max="7" width="21.33203125" style="16" customWidth="1"/>
    <col min="8" max="8" width="48.33203125" style="16" customWidth="1"/>
    <col min="9" max="16384" width="8.88671875" style="16"/>
  </cols>
  <sheetData>
    <row r="1" spans="2:8" ht="20.399999999999999">
      <c r="C1" s="21" t="s">
        <v>187</v>
      </c>
    </row>
    <row r="2" spans="2:8" ht="20.399999999999999">
      <c r="C2" s="21"/>
    </row>
    <row r="3" spans="2:8">
      <c r="B3" s="54" t="s">
        <v>0</v>
      </c>
      <c r="C3" s="54" t="s">
        <v>1</v>
      </c>
      <c r="D3" s="54" t="s">
        <v>219</v>
      </c>
      <c r="E3" s="54"/>
      <c r="F3" s="81" t="s">
        <v>221</v>
      </c>
      <c r="G3" s="81"/>
      <c r="H3" s="81"/>
    </row>
    <row r="4" spans="2:8" ht="103.2" customHeight="1">
      <c r="B4" s="51">
        <v>1</v>
      </c>
      <c r="C4" s="52" t="s">
        <v>152</v>
      </c>
      <c r="D4" s="53" t="s">
        <v>166</v>
      </c>
      <c r="E4" s="23" t="s">
        <v>160</v>
      </c>
    </row>
    <row r="5" spans="2:8" ht="27.6">
      <c r="B5" s="29">
        <v>2</v>
      </c>
      <c r="C5" s="30" t="s">
        <v>208</v>
      </c>
      <c r="D5" s="26" t="s">
        <v>158</v>
      </c>
    </row>
    <row r="6" spans="2:8" ht="95.4" customHeight="1">
      <c r="B6" s="29">
        <v>3</v>
      </c>
      <c r="C6" s="30" t="s">
        <v>163</v>
      </c>
      <c r="D6" s="28" t="s">
        <v>298</v>
      </c>
      <c r="E6" s="19" t="s">
        <v>167</v>
      </c>
      <c r="F6" s="80" t="s">
        <v>299</v>
      </c>
      <c r="G6" s="80"/>
      <c r="H6" s="22" t="s">
        <v>188</v>
      </c>
    </row>
    <row r="7" spans="2:8" ht="14.4" thickBot="1">
      <c r="B7" s="29">
        <v>4</v>
      </c>
      <c r="C7" s="25" t="s">
        <v>153</v>
      </c>
      <c r="D7" s="26" t="s">
        <v>154</v>
      </c>
      <c r="E7" s="19"/>
    </row>
    <row r="8" spans="2:8" ht="37.200000000000003" customHeight="1" thickBot="1">
      <c r="B8" s="82">
        <v>5</v>
      </c>
      <c r="C8" s="85" t="s">
        <v>155</v>
      </c>
      <c r="D8" s="84" t="s">
        <v>168</v>
      </c>
      <c r="E8" s="19"/>
      <c r="F8" s="32" t="s">
        <v>183</v>
      </c>
      <c r="G8" s="33" t="s">
        <v>184</v>
      </c>
      <c r="H8" s="33" t="s">
        <v>185</v>
      </c>
    </row>
    <row r="9" spans="2:8" ht="14.4" thickBot="1">
      <c r="B9" s="82"/>
      <c r="C9" s="85"/>
      <c r="D9" s="84"/>
      <c r="E9" s="17"/>
      <c r="F9" s="59" t="s">
        <v>169</v>
      </c>
      <c r="G9" s="59" t="s">
        <v>170</v>
      </c>
      <c r="H9" s="60" t="s">
        <v>171</v>
      </c>
    </row>
    <row r="10" spans="2:8" ht="14.4" thickBot="1">
      <c r="B10" s="82"/>
      <c r="C10" s="85"/>
      <c r="D10" s="84"/>
      <c r="E10" s="17"/>
      <c r="F10" s="59" t="s">
        <v>172</v>
      </c>
      <c r="G10" s="59" t="s">
        <v>173</v>
      </c>
      <c r="H10" s="60" t="s">
        <v>174</v>
      </c>
    </row>
    <row r="11" spans="2:8" ht="14.4" thickBot="1">
      <c r="B11" s="82"/>
      <c r="C11" s="85"/>
      <c r="D11" s="84"/>
      <c r="E11" s="17"/>
      <c r="F11" s="59" t="s">
        <v>175</v>
      </c>
      <c r="G11" s="59" t="s">
        <v>176</v>
      </c>
      <c r="H11" s="60" t="s">
        <v>177</v>
      </c>
    </row>
    <row r="12" spans="2:8" ht="14.4" thickBot="1">
      <c r="B12" s="82"/>
      <c r="C12" s="85"/>
      <c r="D12" s="84"/>
      <c r="E12" s="17"/>
      <c r="F12" s="59" t="s">
        <v>178</v>
      </c>
      <c r="G12" s="59" t="s">
        <v>179</v>
      </c>
      <c r="H12" s="60" t="s">
        <v>180</v>
      </c>
    </row>
    <row r="13" spans="2:8" ht="96.6">
      <c r="B13" s="29">
        <v>6</v>
      </c>
      <c r="C13" s="30" t="s">
        <v>186</v>
      </c>
      <c r="D13" s="27" t="s">
        <v>181</v>
      </c>
      <c r="E13" s="17"/>
    </row>
    <row r="14" spans="2:8" ht="81" customHeight="1">
      <c r="B14" s="29">
        <v>7</v>
      </c>
      <c r="C14" s="25" t="s">
        <v>156</v>
      </c>
      <c r="D14" s="28" t="s">
        <v>159</v>
      </c>
      <c r="E14" s="31"/>
      <c r="F14" s="86" t="s">
        <v>294</v>
      </c>
      <c r="G14" s="86"/>
      <c r="H14" s="86"/>
    </row>
    <row r="15" spans="2:8">
      <c r="B15" s="55"/>
      <c r="C15" s="23"/>
      <c r="D15" s="31"/>
      <c r="E15" s="31"/>
    </row>
    <row r="16" spans="2:8">
      <c r="B16" s="55"/>
      <c r="C16" s="23"/>
      <c r="D16" s="31"/>
      <c r="E16" s="31"/>
    </row>
    <row r="17" spans="2:6">
      <c r="B17" s="55"/>
      <c r="C17" s="23"/>
      <c r="D17" s="31"/>
      <c r="E17" s="31"/>
    </row>
    <row r="18" spans="2:6">
      <c r="B18" s="55"/>
      <c r="C18" s="23"/>
      <c r="D18" s="31"/>
      <c r="E18" s="31"/>
    </row>
    <row r="19" spans="2:6" ht="45.6" customHeight="1">
      <c r="B19" s="55"/>
      <c r="C19" s="86" t="s">
        <v>287</v>
      </c>
      <c r="D19" s="56" t="s">
        <v>297</v>
      </c>
      <c r="E19" s="31"/>
    </row>
    <row r="20" spans="2:6" ht="49.2" customHeight="1">
      <c r="B20" s="55"/>
      <c r="C20" s="86"/>
      <c r="D20" s="56" t="s">
        <v>296</v>
      </c>
      <c r="E20" s="31"/>
      <c r="F20" s="57"/>
    </row>
    <row r="21" spans="2:6" ht="48" customHeight="1">
      <c r="B21" s="55"/>
      <c r="C21" s="86"/>
      <c r="D21" s="56" t="s">
        <v>295</v>
      </c>
      <c r="E21" s="31"/>
    </row>
    <row r="22" spans="2:6" ht="82.8">
      <c r="B22" s="55"/>
      <c r="C22" s="31" t="s">
        <v>288</v>
      </c>
      <c r="D22" s="31" t="s">
        <v>293</v>
      </c>
      <c r="E22" s="31"/>
      <c r="F22" s="57"/>
    </row>
    <row r="23" spans="2:6" ht="41.4">
      <c r="B23" s="55"/>
      <c r="C23" s="31" t="s">
        <v>289</v>
      </c>
      <c r="D23" s="31" t="s">
        <v>290</v>
      </c>
      <c r="E23" s="31"/>
    </row>
    <row r="24" spans="2:6">
      <c r="B24" s="55"/>
      <c r="C24" s="23"/>
      <c r="D24" s="31"/>
      <c r="E24" s="31"/>
    </row>
    <row r="25" spans="2:6">
      <c r="B25" s="55"/>
      <c r="C25" s="23"/>
      <c r="D25" s="31"/>
      <c r="E25" s="31"/>
    </row>
    <row r="26" spans="2:6">
      <c r="B26" s="55"/>
      <c r="C26" s="23"/>
      <c r="D26" s="31"/>
      <c r="E26" s="31"/>
    </row>
    <row r="27" spans="2:6">
      <c r="B27" s="55"/>
      <c r="C27" s="23"/>
      <c r="D27" s="31"/>
      <c r="E27" s="31"/>
    </row>
    <row r="28" spans="2:6">
      <c r="B28" s="55"/>
      <c r="C28" s="23"/>
      <c r="D28" s="31"/>
      <c r="E28" s="31"/>
    </row>
    <row r="29" spans="2:6">
      <c r="B29" s="55"/>
      <c r="C29" s="23"/>
      <c r="D29" s="31"/>
      <c r="E29" s="31"/>
    </row>
    <row r="30" spans="2:6">
      <c r="B30" s="55"/>
      <c r="C30" s="23"/>
      <c r="D30" s="31"/>
      <c r="E30" s="31"/>
    </row>
    <row r="31" spans="2:6">
      <c r="B31" s="55"/>
      <c r="C31" s="23"/>
      <c r="D31" s="31"/>
      <c r="E31" s="31"/>
    </row>
    <row r="33" spans="2:5" ht="43.2" customHeight="1">
      <c r="B33" s="18">
        <v>1</v>
      </c>
      <c r="C33" s="80" t="s">
        <v>157</v>
      </c>
      <c r="D33" s="80"/>
      <c r="E33" s="22"/>
    </row>
    <row r="34" spans="2:5">
      <c r="B34" s="18">
        <v>2</v>
      </c>
      <c r="C34" s="80" t="s">
        <v>162</v>
      </c>
      <c r="D34" s="80"/>
      <c r="E34" s="22"/>
    </row>
    <row r="35" spans="2:5">
      <c r="B35" s="16">
        <v>3</v>
      </c>
      <c r="C35" s="83" t="s">
        <v>161</v>
      </c>
      <c r="D35" s="83"/>
      <c r="E35" s="24"/>
    </row>
    <row r="37" spans="2:5">
      <c r="B37" s="16" t="s">
        <v>164</v>
      </c>
    </row>
    <row r="38" spans="2:5">
      <c r="B38" s="16" t="s">
        <v>165</v>
      </c>
    </row>
    <row r="40" spans="2:5" ht="139.80000000000001" customHeight="1">
      <c r="B40" s="79" t="s">
        <v>182</v>
      </c>
      <c r="C40" s="79"/>
      <c r="D40" s="79"/>
      <c r="E40" s="79"/>
    </row>
  </sheetData>
  <mergeCells count="11">
    <mergeCell ref="B40:E40"/>
    <mergeCell ref="F6:G6"/>
    <mergeCell ref="F3:H3"/>
    <mergeCell ref="B8:B12"/>
    <mergeCell ref="C33:D33"/>
    <mergeCell ref="C34:D34"/>
    <mergeCell ref="C35:D35"/>
    <mergeCell ref="D8:D12"/>
    <mergeCell ref="C8:C12"/>
    <mergeCell ref="C19:C21"/>
    <mergeCell ref="F14:H14"/>
  </mergeCells>
  <hyperlinks>
    <hyperlink ref="H9" r:id="rId1" display="https://pmc.ncbi.nlm.nih.gov/articles/PMC10976374/" xr:uid="{8CE63009-D6F6-4013-B51D-4ED8439E2E22}"/>
    <hyperlink ref="H10" r:id="rId2" xr:uid="{0A851B20-8748-48BD-AA27-CF4735EE321C}"/>
    <hyperlink ref="H12" r:id="rId3" display="https://pubs.acs.org/doi/abs/10.1021/acs.iecr.0c03771" xr:uid="{ADB593BD-64B1-4B04-8128-F5EA9F95CB06}"/>
    <hyperlink ref="H11" r:id="rId4" display="https://pmc.ncbi.nlm.nih.gov/articles/PMC10976374/" xr:uid="{FAF66446-6729-4306-B62C-374EA1558AB1}"/>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G35"/>
  <sheetViews>
    <sheetView topLeftCell="A10" zoomScale="85" zoomScaleNormal="85" workbookViewId="0">
      <selection activeCell="C15" sqref="C15"/>
    </sheetView>
  </sheetViews>
  <sheetFormatPr defaultColWidth="39.5546875" defaultRowHeight="14.4"/>
  <cols>
    <col min="1" max="1" width="3.33203125" customWidth="1"/>
    <col min="2" max="2" width="29" customWidth="1"/>
    <col min="3" max="3" width="43.21875" customWidth="1"/>
    <col min="4" max="4" width="41.33203125" customWidth="1"/>
    <col min="5" max="5" width="38.44140625" bestFit="1" customWidth="1"/>
    <col min="6" max="6" width="40.33203125" customWidth="1"/>
    <col min="7" max="7" width="40.5546875" bestFit="1" customWidth="1"/>
  </cols>
  <sheetData>
    <row r="1" spans="2:7" ht="15" thickBot="1"/>
    <row r="2" spans="2:7">
      <c r="B2" s="1" t="s">
        <v>0</v>
      </c>
      <c r="C2" s="73" t="s">
        <v>2</v>
      </c>
      <c r="D2" s="73" t="s">
        <v>3</v>
      </c>
      <c r="E2" s="73" t="s">
        <v>4</v>
      </c>
      <c r="F2" s="73" t="s">
        <v>5</v>
      </c>
      <c r="G2" s="73" t="s">
        <v>212</v>
      </c>
    </row>
    <row r="3" spans="2:7" ht="15" thickBot="1">
      <c r="B3" s="2" t="s">
        <v>1</v>
      </c>
      <c r="C3" s="74"/>
      <c r="D3" s="74"/>
      <c r="E3" s="74"/>
      <c r="F3" s="74"/>
      <c r="G3" s="74"/>
    </row>
    <row r="4" spans="2:7">
      <c r="B4" s="7" t="s">
        <v>6</v>
      </c>
      <c r="C4" s="3" t="s">
        <v>8</v>
      </c>
      <c r="D4" s="3" t="s">
        <v>11</v>
      </c>
      <c r="E4" s="3" t="s">
        <v>15</v>
      </c>
      <c r="F4" s="3" t="s">
        <v>19</v>
      </c>
      <c r="G4" s="63" t="s">
        <v>21</v>
      </c>
    </row>
    <row r="5" spans="2:7" ht="16.2">
      <c r="B5" s="61" t="s">
        <v>7</v>
      </c>
      <c r="C5" s="3" t="s">
        <v>9</v>
      </c>
      <c r="D5" s="3" t="s">
        <v>12</v>
      </c>
      <c r="E5" s="3" t="s">
        <v>16</v>
      </c>
      <c r="F5" s="3" t="s">
        <v>20</v>
      </c>
      <c r="G5" s="64"/>
    </row>
    <row r="6" spans="2:7">
      <c r="B6" s="61"/>
      <c r="C6" s="3" t="s">
        <v>10</v>
      </c>
      <c r="D6" s="3" t="s">
        <v>13</v>
      </c>
      <c r="E6" s="3" t="s">
        <v>17</v>
      </c>
      <c r="F6" s="6"/>
      <c r="G6" s="64"/>
    </row>
    <row r="7" spans="2:7" ht="15" thickBot="1">
      <c r="B7" s="62"/>
      <c r="C7" s="4"/>
      <c r="D7" s="5" t="s">
        <v>14</v>
      </c>
      <c r="E7" s="5" t="s">
        <v>18</v>
      </c>
      <c r="F7" s="4"/>
      <c r="G7" s="65"/>
    </row>
    <row r="8" spans="2:7">
      <c r="B8" s="7" t="s">
        <v>22</v>
      </c>
      <c r="C8" s="3" t="s">
        <v>24</v>
      </c>
      <c r="D8" s="3" t="s">
        <v>28</v>
      </c>
      <c r="E8" s="3" t="s">
        <v>31</v>
      </c>
      <c r="F8" s="63" t="s">
        <v>34</v>
      </c>
      <c r="G8" s="3" t="s">
        <v>132</v>
      </c>
    </row>
    <row r="9" spans="2:7" ht="28.2">
      <c r="B9" s="61" t="s">
        <v>23</v>
      </c>
      <c r="C9" s="3" t="s">
        <v>25</v>
      </c>
      <c r="D9" s="3" t="s">
        <v>29</v>
      </c>
      <c r="E9" s="3" t="s">
        <v>32</v>
      </c>
      <c r="F9" s="64"/>
      <c r="G9" s="3" t="s">
        <v>35</v>
      </c>
    </row>
    <row r="10" spans="2:7" ht="27.6">
      <c r="B10" s="61"/>
      <c r="C10" s="3" t="s">
        <v>26</v>
      </c>
      <c r="D10" s="3" t="s">
        <v>30</v>
      </c>
      <c r="E10" s="3" t="s">
        <v>33</v>
      </c>
      <c r="F10" s="64"/>
      <c r="G10" s="6"/>
    </row>
    <row r="11" spans="2:7" ht="15" thickBot="1">
      <c r="B11" s="62"/>
      <c r="C11" s="5" t="s">
        <v>27</v>
      </c>
      <c r="D11" s="4"/>
      <c r="E11" s="4"/>
      <c r="F11" s="65"/>
      <c r="G11" s="4"/>
    </row>
    <row r="12" spans="2:7">
      <c r="B12" s="7" t="s">
        <v>36</v>
      </c>
      <c r="C12" s="3" t="s">
        <v>38</v>
      </c>
      <c r="D12" s="3" t="s">
        <v>41</v>
      </c>
      <c r="E12" s="3" t="s">
        <v>45</v>
      </c>
      <c r="F12" s="3" t="s">
        <v>49</v>
      </c>
      <c r="G12" s="63" t="s">
        <v>51</v>
      </c>
    </row>
    <row r="13" spans="2:7">
      <c r="B13" s="61" t="s">
        <v>37</v>
      </c>
      <c r="C13" s="3" t="s">
        <v>39</v>
      </c>
      <c r="D13" s="3" t="s">
        <v>42</v>
      </c>
      <c r="E13" s="3" t="s">
        <v>46</v>
      </c>
      <c r="F13" s="3" t="s">
        <v>50</v>
      </c>
      <c r="G13" s="64"/>
    </row>
    <row r="14" spans="2:7">
      <c r="B14" s="61"/>
      <c r="C14" s="3" t="s">
        <v>40</v>
      </c>
      <c r="D14" s="3" t="s">
        <v>43</v>
      </c>
      <c r="E14" s="3" t="s">
        <v>47</v>
      </c>
      <c r="F14" s="6"/>
      <c r="G14" s="64"/>
    </row>
    <row r="15" spans="2:7" ht="15" thickBot="1">
      <c r="B15" s="62"/>
      <c r="C15" s="4"/>
      <c r="D15" s="5" t="s">
        <v>44</v>
      </c>
      <c r="E15" s="5" t="s">
        <v>48</v>
      </c>
      <c r="F15" s="4"/>
      <c r="G15" s="65"/>
    </row>
    <row r="16" spans="2:7">
      <c r="B16" s="46" t="s">
        <v>52</v>
      </c>
      <c r="C16" s="47" t="s">
        <v>53</v>
      </c>
      <c r="D16" s="47" t="s">
        <v>56</v>
      </c>
      <c r="E16" s="47" t="s">
        <v>59</v>
      </c>
      <c r="F16" s="47" t="s">
        <v>62</v>
      </c>
      <c r="G16" s="66" t="s">
        <v>64</v>
      </c>
    </row>
    <row r="17" spans="2:7">
      <c r="B17" s="69" t="s">
        <v>131</v>
      </c>
      <c r="C17" s="47" t="s">
        <v>54</v>
      </c>
      <c r="D17" s="47" t="s">
        <v>57</v>
      </c>
      <c r="E17" s="47" t="s">
        <v>60</v>
      </c>
      <c r="F17" s="47" t="s">
        <v>63</v>
      </c>
      <c r="G17" s="67"/>
    </row>
    <row r="18" spans="2:7" ht="16.2" thickBot="1">
      <c r="B18" s="70"/>
      <c r="C18" s="48" t="s">
        <v>55</v>
      </c>
      <c r="D18" s="49" t="s">
        <v>58</v>
      </c>
      <c r="E18" s="48" t="s">
        <v>61</v>
      </c>
      <c r="F18" s="50"/>
      <c r="G18" s="68"/>
    </row>
    <row r="19" spans="2:7" ht="16.2">
      <c r="B19" s="7" t="s">
        <v>65</v>
      </c>
      <c r="C19" s="3" t="s">
        <v>67</v>
      </c>
      <c r="D19" s="3" t="s">
        <v>70</v>
      </c>
      <c r="E19" s="3" t="s">
        <v>75</v>
      </c>
      <c r="F19" s="3" t="s">
        <v>80</v>
      </c>
      <c r="G19" s="3" t="s">
        <v>83</v>
      </c>
    </row>
    <row r="20" spans="2:7" ht="27.6" customHeight="1">
      <c r="B20" s="61" t="s">
        <v>66</v>
      </c>
      <c r="C20" s="3" t="s">
        <v>68</v>
      </c>
      <c r="D20" s="3" t="s">
        <v>71</v>
      </c>
      <c r="E20" s="3" t="s">
        <v>76</v>
      </c>
      <c r="F20" s="3" t="s">
        <v>81</v>
      </c>
      <c r="G20" s="3" t="s">
        <v>84</v>
      </c>
    </row>
    <row r="21" spans="2:7">
      <c r="B21" s="61"/>
      <c r="C21" s="3" t="s">
        <v>69</v>
      </c>
      <c r="D21" s="3" t="s">
        <v>72</v>
      </c>
      <c r="E21" s="3" t="s">
        <v>77</v>
      </c>
      <c r="F21" s="3" t="s">
        <v>82</v>
      </c>
      <c r="G21" s="3" t="s">
        <v>85</v>
      </c>
    </row>
    <row r="22" spans="2:7">
      <c r="B22" s="61"/>
      <c r="C22" s="6"/>
      <c r="D22" s="3" t="s">
        <v>73</v>
      </c>
      <c r="E22" s="3" t="s">
        <v>78</v>
      </c>
      <c r="F22" s="6"/>
      <c r="G22" s="3" t="s">
        <v>86</v>
      </c>
    </row>
    <row r="23" spans="2:7" ht="15" thickBot="1">
      <c r="B23" s="62"/>
      <c r="C23" s="4"/>
      <c r="D23" s="5" t="s">
        <v>74</v>
      </c>
      <c r="E23" s="5" t="s">
        <v>79</v>
      </c>
      <c r="F23" s="4"/>
      <c r="G23" s="4"/>
    </row>
    <row r="24" spans="2:7" ht="27.6">
      <c r="B24" s="7" t="s">
        <v>87</v>
      </c>
      <c r="C24" s="3" t="s">
        <v>89</v>
      </c>
      <c r="D24" s="3" t="s">
        <v>93</v>
      </c>
      <c r="E24" s="3" t="s">
        <v>96</v>
      </c>
      <c r="F24" s="3" t="s">
        <v>99</v>
      </c>
      <c r="G24" s="63" t="s">
        <v>101</v>
      </c>
    </row>
    <row r="25" spans="2:7">
      <c r="B25" s="61" t="s">
        <v>88</v>
      </c>
      <c r="C25" s="3" t="s">
        <v>90</v>
      </c>
      <c r="D25" s="3" t="s">
        <v>94</v>
      </c>
      <c r="E25" s="3" t="s">
        <v>97</v>
      </c>
      <c r="F25" s="3" t="s">
        <v>100</v>
      </c>
      <c r="G25" s="64"/>
    </row>
    <row r="26" spans="2:7">
      <c r="B26" s="61"/>
      <c r="C26" s="3" t="s">
        <v>91</v>
      </c>
      <c r="D26" s="3" t="s">
        <v>95</v>
      </c>
      <c r="E26" s="3" t="s">
        <v>98</v>
      </c>
      <c r="F26" s="6"/>
      <c r="G26" s="64"/>
    </row>
    <row r="27" spans="2:7" ht="15" thickBot="1">
      <c r="B27" s="62"/>
      <c r="C27" s="5" t="s">
        <v>92</v>
      </c>
      <c r="D27" s="4"/>
      <c r="E27" s="4"/>
      <c r="F27" s="4"/>
      <c r="G27" s="65"/>
    </row>
    <row r="28" spans="2:7" ht="27.6">
      <c r="B28" s="7" t="s">
        <v>102</v>
      </c>
      <c r="C28" s="3" t="s">
        <v>104</v>
      </c>
      <c r="D28" s="3" t="s">
        <v>111</v>
      </c>
      <c r="E28" s="3" t="s">
        <v>119</v>
      </c>
      <c r="F28" s="3" t="s">
        <v>125</v>
      </c>
      <c r="G28" s="63" t="s">
        <v>130</v>
      </c>
    </row>
    <row r="29" spans="2:7" ht="27.6">
      <c r="B29" s="61" t="s">
        <v>103</v>
      </c>
      <c r="C29" s="3" t="s">
        <v>105</v>
      </c>
      <c r="D29" s="3" t="s">
        <v>112</v>
      </c>
      <c r="E29" s="3" t="s">
        <v>120</v>
      </c>
      <c r="F29" s="3" t="s">
        <v>126</v>
      </c>
      <c r="G29" s="64"/>
    </row>
    <row r="30" spans="2:7">
      <c r="B30" s="61"/>
      <c r="C30" s="3" t="s">
        <v>106</v>
      </c>
      <c r="D30" s="3" t="s">
        <v>113</v>
      </c>
      <c r="E30" s="3" t="s">
        <v>121</v>
      </c>
      <c r="F30" s="3" t="s">
        <v>127</v>
      </c>
      <c r="G30" s="64"/>
    </row>
    <row r="31" spans="2:7" ht="16.2">
      <c r="B31" s="61"/>
      <c r="C31" s="3" t="s">
        <v>107</v>
      </c>
      <c r="D31" s="3" t="s">
        <v>114</v>
      </c>
      <c r="E31" s="3" t="s">
        <v>122</v>
      </c>
      <c r="F31" s="3" t="s">
        <v>128</v>
      </c>
      <c r="G31" s="64"/>
    </row>
    <row r="32" spans="2:7">
      <c r="B32" s="61"/>
      <c r="C32" s="3" t="s">
        <v>108</v>
      </c>
      <c r="D32" s="3" t="s">
        <v>115</v>
      </c>
      <c r="E32" s="3" t="s">
        <v>123</v>
      </c>
      <c r="F32" s="3" t="s">
        <v>129</v>
      </c>
      <c r="G32" s="64"/>
    </row>
    <row r="33" spans="2:7" ht="27.6" customHeight="1">
      <c r="B33" s="61"/>
      <c r="C33" s="3" t="s">
        <v>109</v>
      </c>
      <c r="D33" s="3" t="s">
        <v>116</v>
      </c>
      <c r="E33" s="71" t="s">
        <v>124</v>
      </c>
      <c r="F33" s="6"/>
      <c r="G33" s="64"/>
    </row>
    <row r="34" spans="2:7">
      <c r="B34" s="61"/>
      <c r="C34" s="71" t="s">
        <v>110</v>
      </c>
      <c r="D34" s="3" t="s">
        <v>117</v>
      </c>
      <c r="E34" s="71"/>
      <c r="F34" s="6"/>
      <c r="G34" s="64"/>
    </row>
    <row r="35" spans="2:7" ht="15" thickBot="1">
      <c r="B35" s="62"/>
      <c r="C35" s="72"/>
      <c r="D35" s="5" t="s">
        <v>118</v>
      </c>
      <c r="E35" s="72"/>
      <c r="F35" s="4"/>
      <c r="G35" s="65"/>
    </row>
  </sheetData>
  <mergeCells count="20">
    <mergeCell ref="G4:G7"/>
    <mergeCell ref="E33:E35"/>
    <mergeCell ref="C34:C35"/>
    <mergeCell ref="C2:C3"/>
    <mergeCell ref="D2:D3"/>
    <mergeCell ref="E2:E3"/>
    <mergeCell ref="F2:F3"/>
    <mergeCell ref="G2:G3"/>
    <mergeCell ref="B29:B35"/>
    <mergeCell ref="F8:F11"/>
    <mergeCell ref="G12:G15"/>
    <mergeCell ref="G16:G18"/>
    <mergeCell ref="G24:G27"/>
    <mergeCell ref="G28:G35"/>
    <mergeCell ref="B17:B18"/>
    <mergeCell ref="B5:B7"/>
    <mergeCell ref="B9:B11"/>
    <mergeCell ref="B13:B15"/>
    <mergeCell ref="B20:B23"/>
    <mergeCell ref="B25:B27"/>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1812E-81E6-4212-A19B-1AD4456C1998}">
  <dimension ref="B2:J20"/>
  <sheetViews>
    <sheetView tabSelected="1" workbookViewId="0">
      <selection activeCell="N11" sqref="N11"/>
    </sheetView>
  </sheetViews>
  <sheetFormatPr defaultRowHeight="14.4"/>
  <cols>
    <col min="3" max="3" width="15.44140625" customWidth="1"/>
  </cols>
  <sheetData>
    <row r="2" spans="2:10">
      <c r="D2" s="87" t="s">
        <v>302</v>
      </c>
      <c r="E2" s="87"/>
    </row>
    <row r="3" spans="2:10">
      <c r="C3" t="s">
        <v>300</v>
      </c>
      <c r="D3" s="90">
        <v>403.99700000000001</v>
      </c>
      <c r="E3" s="87" t="s">
        <v>301</v>
      </c>
    </row>
    <row r="4" spans="2:10">
      <c r="C4" t="s">
        <v>303</v>
      </c>
      <c r="D4" s="91">
        <v>270.3</v>
      </c>
      <c r="E4" s="88" t="s">
        <v>301</v>
      </c>
    </row>
    <row r="5" spans="2:10">
      <c r="C5" t="s">
        <v>304</v>
      </c>
      <c r="D5" s="92">
        <v>55.844999999999999</v>
      </c>
      <c r="E5" s="88" t="s">
        <v>301</v>
      </c>
    </row>
    <row r="8" spans="2:10">
      <c r="C8" s="93" t="s">
        <v>305</v>
      </c>
      <c r="D8" s="94">
        <v>2</v>
      </c>
      <c r="E8" s="95" t="s">
        <v>306</v>
      </c>
      <c r="F8" s="87"/>
    </row>
    <row r="9" spans="2:10">
      <c r="C9" s="97" t="s">
        <v>309</v>
      </c>
      <c r="D9" s="95">
        <f>$D$8*D10*1000</f>
        <v>20</v>
      </c>
      <c r="E9" s="95">
        <f>$D$8*E10*1000</f>
        <v>100</v>
      </c>
      <c r="F9" t="s">
        <v>308</v>
      </c>
    </row>
    <row r="10" spans="2:10">
      <c r="C10" s="98"/>
      <c r="D10" s="96">
        <v>0.01</v>
      </c>
      <c r="E10" s="96">
        <v>0.05</v>
      </c>
    </row>
    <row r="11" spans="2:10" ht="15.6">
      <c r="B11" s="89" t="s">
        <v>307</v>
      </c>
      <c r="C11" s="93" t="s">
        <v>310</v>
      </c>
      <c r="D11" s="93">
        <f>D$9*$D3/$D$5</f>
        <v>144.68511057390995</v>
      </c>
      <c r="E11" s="93">
        <f>E$9*$D3/$D$5</f>
        <v>723.42555286954973</v>
      </c>
      <c r="F11" t="s">
        <v>308</v>
      </c>
    </row>
    <row r="12" spans="2:10" ht="15.6">
      <c r="C12" s="93" t="s">
        <v>311</v>
      </c>
      <c r="D12" s="93">
        <f>D$9*$D4/$D$5</f>
        <v>96.803652968036531</v>
      </c>
      <c r="E12" s="93">
        <f>E$9*$D4/$D$5</f>
        <v>484.01826484018267</v>
      </c>
      <c r="F12" t="s">
        <v>308</v>
      </c>
      <c r="J12" t="s">
        <v>312</v>
      </c>
    </row>
    <row r="16" spans="2:10">
      <c r="C16" s="93" t="s">
        <v>305</v>
      </c>
      <c r="D16" s="94">
        <v>3</v>
      </c>
      <c r="E16" s="95" t="s">
        <v>306</v>
      </c>
    </row>
    <row r="17" spans="3:6">
      <c r="C17" s="97" t="s">
        <v>309</v>
      </c>
      <c r="D17" s="95">
        <f>$D$16*D18*1000</f>
        <v>30</v>
      </c>
      <c r="E17" s="95">
        <f>$D$16*E18*1000</f>
        <v>150.00000000000003</v>
      </c>
    </row>
    <row r="18" spans="3:6">
      <c r="C18" s="98"/>
      <c r="D18" s="96">
        <v>0.01</v>
      </c>
      <c r="E18" s="96">
        <v>0.05</v>
      </c>
    </row>
    <row r="19" spans="3:6" ht="15.6">
      <c r="C19" s="93" t="s">
        <v>310</v>
      </c>
      <c r="D19" s="93">
        <f>D$17*$D3/$D$5</f>
        <v>217.02766586086489</v>
      </c>
      <c r="E19" s="93">
        <f>E$17*$D3/$D$5</f>
        <v>1085.1383293043248</v>
      </c>
      <c r="F19" t="s">
        <v>308</v>
      </c>
    </row>
    <row r="20" spans="3:6" ht="15.6">
      <c r="C20" s="93" t="s">
        <v>311</v>
      </c>
      <c r="D20" s="93">
        <f>D$17*$D4/$D$5</f>
        <v>145.20547945205479</v>
      </c>
      <c r="E20" s="93">
        <f>E$17*$D4/$D$5</f>
        <v>726.02739726027414</v>
      </c>
      <c r="F20" t="s">
        <v>308</v>
      </c>
    </row>
  </sheetData>
  <mergeCells count="2">
    <mergeCell ref="C9:C10"/>
    <mergeCell ref="C17:C18"/>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1.1. Core Objective &amp; Research</vt:lpstr>
      <vt:lpstr>2.1 Sơ bộ Quy trình</vt:lpstr>
      <vt:lpstr>Phân tích đặc trưng</vt:lpstr>
      <vt:lpstr>Tính toán doping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Hoang-Nhat</dc:creator>
  <cp:lastModifiedBy>Lê Hoàng Nhật</cp:lastModifiedBy>
  <dcterms:created xsi:type="dcterms:W3CDTF">2015-06-05T18:17:20Z</dcterms:created>
  <dcterms:modified xsi:type="dcterms:W3CDTF">2026-04-16T15:21:45Z</dcterms:modified>
</cp:coreProperties>
</file>