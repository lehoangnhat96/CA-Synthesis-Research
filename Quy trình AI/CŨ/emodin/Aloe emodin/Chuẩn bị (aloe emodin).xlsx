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 Thạc sĩ Hóa Phân Tích\Luận văn\Aloe emodin\"/>
    </mc:Choice>
  </mc:AlternateContent>
  <xr:revisionPtr revIDLastSave="0" documentId="13_ncr:1_{18A86454-23E5-4039-B38F-EF38F542267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ính toán (2)" sheetId="2" r:id="rId1"/>
    <sheet name="Thông tin rút gọn" sheetId="3" r:id="rId2"/>
    <sheet name="Tạo phức" sheetId="4" r:id="rId3"/>
    <sheet name="Outline" sheetId="5" r:id="rId4"/>
    <sheet name="Sheet1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8" i="2" l="1"/>
  <c r="E68" i="2"/>
  <c r="D69" i="2"/>
  <c r="E69" i="2"/>
  <c r="B68" i="2"/>
  <c r="B69" i="2"/>
  <c r="C69" i="2"/>
  <c r="C68" i="2"/>
  <c r="B64" i="2"/>
  <c r="B65" i="2"/>
  <c r="B66" i="2"/>
  <c r="B67" i="2"/>
  <c r="E65" i="2"/>
  <c r="E66" i="2"/>
  <c r="E67" i="2"/>
  <c r="E64" i="2"/>
  <c r="D65" i="2"/>
  <c r="D66" i="2"/>
  <c r="D67" i="2"/>
  <c r="C67" i="2"/>
  <c r="D64" i="2"/>
  <c r="C66" i="2"/>
  <c r="C65" i="2"/>
  <c r="C64" i="2"/>
  <c r="D61" i="2"/>
  <c r="E57" i="2"/>
  <c r="E58" i="2" s="1"/>
  <c r="E56" i="2"/>
  <c r="E55" i="2"/>
  <c r="D44" i="2"/>
  <c r="D45" i="2" s="1"/>
  <c r="D49" i="2"/>
  <c r="D33" i="2"/>
  <c r="D34" i="2" s="1"/>
  <c r="D23" i="2"/>
  <c r="D24" i="2"/>
  <c r="D17" i="2"/>
  <c r="D18" i="2" s="1"/>
  <c r="D8" i="2"/>
  <c r="D4" i="2" s="1"/>
  <c r="D29" i="2" l="1"/>
  <c r="D5" i="2"/>
  <c r="D14" i="2"/>
  <c r="D9" i="2"/>
</calcChain>
</file>

<file path=xl/sharedStrings.xml><?xml version="1.0" encoding="utf-8"?>
<sst xmlns="http://schemas.openxmlformats.org/spreadsheetml/2006/main" count="195" uniqueCount="136">
  <si>
    <t>Aloe-emodin</t>
  </si>
  <si>
    <t>Mass</t>
  </si>
  <si>
    <t>g/mol</t>
  </si>
  <si>
    <t>mL</t>
  </si>
  <si>
    <t>Thể tích pha</t>
  </si>
  <si>
    <t>lượng cân</t>
  </si>
  <si>
    <t>mg</t>
  </si>
  <si>
    <t>g</t>
  </si>
  <si>
    <t>mol/Lít</t>
  </si>
  <si>
    <r>
      <t>C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</t>
    </r>
  </si>
  <si>
    <t>Phức Fe (III)</t>
  </si>
  <si>
    <t>Nồng độ đầu</t>
  </si>
  <si>
    <r>
      <t>ppm 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g/g)</t>
    </r>
  </si>
  <si>
    <t>Fe mass</t>
  </si>
  <si>
    <t>Nhập</t>
  </si>
  <si>
    <t>Kết quả</t>
  </si>
  <si>
    <t>ml</t>
  </si>
  <si>
    <r>
      <t>V</t>
    </r>
    <r>
      <rPr>
        <vertAlign val="subscript"/>
        <sz val="11"/>
        <color theme="1"/>
        <rFont val="Calibri"/>
        <family val="2"/>
        <scheme val="minor"/>
      </rPr>
      <t>Fe</t>
    </r>
    <r>
      <rPr>
        <sz val="11"/>
        <color theme="1"/>
        <rFont val="Calibri"/>
        <family val="2"/>
        <scheme val="minor"/>
      </rPr>
      <t>_rút</t>
    </r>
  </si>
  <si>
    <r>
      <t>V</t>
    </r>
    <r>
      <rPr>
        <vertAlign val="subscript"/>
        <sz val="11"/>
        <color theme="1"/>
        <rFont val="Calibri"/>
        <family val="2"/>
        <scheme val="minor"/>
      </rPr>
      <t>pha</t>
    </r>
  </si>
  <si>
    <t>P% =</t>
  </si>
  <si>
    <t>Nhập số lẻ 0.***</t>
  </si>
  <si>
    <r>
      <t>α (Fe</t>
    </r>
    <r>
      <rPr>
        <vertAlign val="superscript"/>
        <sz val="11"/>
        <color theme="1"/>
        <rFont val="Calibri"/>
        <family val="2"/>
      </rPr>
      <t>3+</t>
    </r>
    <r>
      <rPr>
        <sz val="11"/>
        <color theme="1"/>
        <rFont val="Calibri"/>
        <family val="2"/>
      </rPr>
      <t>) =</t>
    </r>
  </si>
  <si>
    <t>Cách tính 1 (từ dd 1000ppm)</t>
  </si>
  <si>
    <t>Cách tính 2 (từ dạng rắn)</t>
  </si>
  <si>
    <r>
      <t>x10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mol/lít</t>
    </r>
  </si>
  <si>
    <r>
      <t>C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pha =</t>
    </r>
  </si>
  <si>
    <r>
      <t>C</t>
    </r>
    <r>
      <rPr>
        <vertAlign val="subscript"/>
        <sz val="11"/>
        <color theme="1"/>
        <rFont val="Calibri"/>
        <family val="2"/>
        <scheme val="minor"/>
      </rPr>
      <t>M pha</t>
    </r>
    <r>
      <rPr>
        <sz val="11"/>
        <color theme="1"/>
        <rFont val="Calibri"/>
        <family val="2"/>
        <scheme val="minor"/>
      </rPr>
      <t xml:space="preserve"> =</t>
    </r>
  </si>
  <si>
    <r>
      <t>Ví dụ: 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</si>
  <si>
    <t>V pha</t>
  </si>
  <si>
    <t>HCl 37%</t>
  </si>
  <si>
    <t>M</t>
  </si>
  <si>
    <t>C pha</t>
  </si>
  <si>
    <t>d</t>
  </si>
  <si>
    <t>g/ml</t>
  </si>
  <si>
    <t>V đầu (rút)</t>
  </si>
  <si>
    <t xml:space="preserve">M </t>
  </si>
  <si>
    <t>g/100g</t>
  </si>
  <si>
    <t>uL</t>
  </si>
  <si>
    <t>NaOH (rắn)</t>
  </si>
  <si>
    <t>UV Spectrophotometeric Analytical Method Development and Validation for Aloe-Emodin Phytochemical in Bulk and Formulations</t>
  </si>
  <si>
    <t>Bài báo</t>
  </si>
  <si>
    <t>MeOH</t>
  </si>
  <si>
    <t>Bước sóng max</t>
  </si>
  <si>
    <t>LOD</t>
  </si>
  <si>
    <t>LOQ</t>
  </si>
  <si>
    <t>0.278μg/mL</t>
  </si>
  <si>
    <t>26.518μg/mL</t>
  </si>
  <si>
    <t>Thiết bị</t>
  </si>
  <si>
    <t>UV 1800 Shimadzu</t>
  </si>
  <si>
    <t>(R.S.D.)</t>
  </si>
  <si>
    <t>0.129 to 0.325%</t>
  </si>
  <si>
    <t>Nội chuẩn</t>
  </si>
  <si>
    <t>-</t>
  </si>
  <si>
    <t>Simultaneous determination and pharmacokinetic studies of aloe emodin and chrysophanol in rats after oral administration of Da-Cheng-Qi decoction by highperformance liquid chromatography</t>
  </si>
  <si>
    <t>254 nm</t>
  </si>
  <si>
    <t>HPLC-UV (C18 - 5 µm, 150 × 4.6 mm)</t>
  </si>
  <si>
    <t xml:space="preserve">MeOH– acid acetic 0.2% (pH=3.12) 
(Tỉ lệ 83:17)
</t>
  </si>
  <si>
    <t>1,8- dihydroxyanthraquinone (100 µg/mL)</t>
  </si>
  <si>
    <r>
      <t>MeOH :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(7:3)</t>
    </r>
  </si>
  <si>
    <t>R.S.D. &lt; 9%</t>
  </si>
  <si>
    <t>PDA (254 nm)
huỳnh quang (435 nm)
515 nm</t>
  </si>
  <si>
    <t>Flow rate</t>
  </si>
  <si>
    <t xml:space="preserve">1 mL/min </t>
  </si>
  <si>
    <t>AEM, eugenol methyl ether (1mg/ml) or 
trazodone (phát huỳnh quang đc)</t>
  </si>
  <si>
    <t>Determination of aloe emodin in Aloe vera extracts and commercial formulations by HPLC with tandem UV absorption and fluorescence detection</t>
  </si>
  <si>
    <t>MeOH – RO – acid acetic 
(65:35:0,2, v/v/v)</t>
  </si>
  <si>
    <t>4,5 ng/mL</t>
  </si>
  <si>
    <t>5 ng/mL</t>
  </si>
  <si>
    <t>7,8% và 4,7%</t>
  </si>
  <si>
    <t>HPLC-huỳnh quang 
(Symmetry Shield RP18)</t>
  </si>
  <si>
    <t>Chuẩn</t>
  </si>
  <si>
    <t>AE stock solution 100 mg/ml
Đường chuẩn
(0.1, 0.5, 1, 5 and 10 mg/ml)</t>
  </si>
  <si>
    <t>Dung moi</t>
  </si>
  <si>
    <t>pha động</t>
  </si>
  <si>
    <t>1.2 ml/min</t>
  </si>
  <si>
    <t>methanol–nước–axit acetic 
(70:30:0.1)</t>
  </si>
  <si>
    <t>UV 254 nm</t>
  </si>
  <si>
    <t>0,016 μg/mL</t>
  </si>
  <si>
    <t>0,008 μg/mL</t>
  </si>
  <si>
    <t xml:space="preserve">Determination of aloe-emodin in rat plasma by SPE-HPLC and the pharmacokinetic study
</t>
  </si>
  <si>
    <t>HPLC-tandem UV–FLD (C18)</t>
  </si>
  <si>
    <t>Simultaneous determination and pharmacokinetics of five rhubarb 
anthraquinones in dog plasma by HPLC after orally administration 
the rhubarb extract</t>
  </si>
  <si>
    <t>HPLC-FLD</t>
  </si>
  <si>
    <t>&gt;10%</t>
  </si>
  <si>
    <t xml:space="preserve">1, 8-dihydroxyanthraquinone 
(internal standard, IS) </t>
  </si>
  <si>
    <t xml:space="preserve">MeOH-0.1% H3PO4
75:25 v/v </t>
  </si>
  <si>
    <t>FLD = 435 nm 
FLD =515 nm</t>
  </si>
  <si>
    <t>Effect of Zn2+ on emodin molecules studied by time-resolved fluorescence spectroscopy and quantum chemical calculations</t>
  </si>
  <si>
    <t>Constructing aloe-emodin/FeOOH organic-inorganic heterojunction for synergetic photocatalysis-Fenton eliminating antibiotic pollutants</t>
  </si>
  <si>
    <t>Study on the Antioxidant Activity of Aloe-Emodin Metal Complex</t>
  </si>
  <si>
    <t>Thông tin thêm</t>
  </si>
  <si>
    <r>
      <t xml:space="preserve">According to the results of structural characterization, we speculated that the aloe-emodin metal complexes were formed at the site between the two molecules of aloe-emodin and one molecule of metal ions (Fe2+, Mg2+, Cu2+) via the 9th carbonyl and 8th hydroxyl groups of the aloe-emodin molecules
</t>
    </r>
    <r>
      <rPr>
        <b/>
        <sz val="11"/>
        <color theme="1"/>
        <rFont val="Calibri"/>
        <family val="2"/>
        <scheme val="minor"/>
      </rPr>
      <t>Conclusion:</t>
    </r>
    <r>
      <rPr>
        <sz val="11"/>
        <color theme="1"/>
        <rFont val="Calibri"/>
        <family val="2"/>
        <scheme val="minor"/>
      </rPr>
      <t xml:space="preserve"> Coordination of aloe-emodin with metal ions, such as Fe2+, Cu2+, and Mg2+, could enhance the antioxidant activity of the ligand itself.\</t>
    </r>
  </si>
  <si>
    <t>Pha dung dịch theo tỉ lệ</t>
  </si>
  <si>
    <t>Chất A</t>
  </si>
  <si>
    <t>Chất B</t>
  </si>
  <si>
    <t>Tên cụ thể</t>
  </si>
  <si>
    <t>Nước</t>
  </si>
  <si>
    <t>Tỉ lệ</t>
  </si>
  <si>
    <t>Tổng</t>
  </si>
  <si>
    <t>đệm pH 3</t>
  </si>
  <si>
    <t>Chất C</t>
  </si>
  <si>
    <t>Tổng quan: 
Cấu trúc hóa học, tính chất vật lý, khả năng tạo phức
Nguồn gốc tự nhiên
Ứng dụng</t>
  </si>
  <si>
    <t>Tính chất tạo phức</t>
  </si>
  <si>
    <t>Lý do chọn ion kim loại: môi trường có chì, sinh học gồm sắt kẽm</t>
  </si>
  <si>
    <t>Mục tiêu nghiên cứu</t>
  </si>
  <si>
    <t>Giới thiệu</t>
  </si>
  <si>
    <t>Cơ sở lý thuyết</t>
  </si>
  <si>
    <t xml:space="preserve">Khái niệm phức chất </t>
  </si>
  <si>
    <t>Cơ chế tạo phức anthraquinone với ion kim loại</t>
  </si>
  <si>
    <t>Yếu tố ảnh hưởng tạo phức</t>
  </si>
  <si>
    <t>pha dãy chuẩn</t>
  </si>
  <si>
    <t>AE gốc</t>
  </si>
  <si>
    <t>C tương đương</t>
  </si>
  <si>
    <t>V định mức</t>
  </si>
  <si>
    <t>V rút, µL</t>
  </si>
  <si>
    <t>C pha, M</t>
  </si>
  <si>
    <t>µg/ml</t>
  </si>
  <si>
    <r>
      <t>M 10</t>
    </r>
    <r>
      <rPr>
        <vertAlign val="superscript"/>
        <sz val="11"/>
        <color theme="1"/>
        <rFont val="Calibri"/>
        <family val="2"/>
        <scheme val="minor"/>
      </rPr>
      <t>-5</t>
    </r>
  </si>
  <si>
    <r>
      <t xml:space="preserve">Phương pháp phân tích:
UV-Vis (dịch chuyển λmax, hệ số hấp thụ molar).
HPLC-DAD (so sánh retention time và phổ UV).
FT-IR, MS (xác nhận vị trí liên kết).
</t>
    </r>
    <r>
      <rPr>
        <b/>
        <i/>
        <sz val="11"/>
        <color theme="2" tint="-0.499984740745262"/>
        <rFont val="Calibri"/>
        <family val="2"/>
        <scheme val="minor"/>
      </rPr>
      <t>(Optional)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2" tint="-0.499984740745262"/>
        <rFont val="Calibri"/>
        <family val="2"/>
        <scheme val="minor"/>
      </rPr>
      <t>Tính toán hóa học: năng lượng liên kết, độ bền phức.</t>
    </r>
  </si>
  <si>
    <t>Thay đổi</t>
  </si>
  <si>
    <t>mục 2</t>
  </si>
  <si>
    <t>Cơ sở lý thuyết tạo phức AE chuyển lên phần tổng quan AE</t>
  </si>
  <si>
    <t>Đường chuẩn
PDA từ 10.0–1000.0 ng/mL
Fluorimetric: 2,5–1000,0 ng/mL</t>
  </si>
  <si>
    <t xml:space="preserve">(PDA) 3 ng/ml 
(Fluorimetric) 
0.8 ng/mL </t>
  </si>
  <si>
    <t>(CHIẾT) Assessment of conventional and novel extraction techniques on extraction efficiency of five anthraquinones from Rheum emodi</t>
  </si>
  <si>
    <t>- Dùng Ethanol + siêu âm chiết                                                                                                                                                                                                                                                             - Methanol hòa tan</t>
  </si>
  <si>
    <t>methanol</t>
  </si>
  <si>
    <t>10.1–2020 (ng/ml)</t>
  </si>
  <si>
    <t>Huỳnh quang
λₑₓ = 410 nm 
λₑₘ = 510 nm</t>
  </si>
  <si>
    <t>High-performance liquid chromatographic assay for the determination of Aloe Emodin in mouse plasma</t>
  </si>
  <si>
    <t xml:space="preserve">PREPARATION AND ANALYSIS OF ALOE EMODIN: A REVIEW </t>
  </si>
  <si>
    <r>
      <t xml:space="preserve">Tan trong: </t>
    </r>
    <r>
      <rPr>
        <sz val="11"/>
        <color theme="1"/>
        <rFont val="Calibri"/>
        <family val="2"/>
        <scheme val="minor"/>
      </rPr>
      <t xml:space="preserve">hot alcohol, toluene, ether, benzene with yellow colour, ammonia water and sulphuric acid with crimson colour, 
</t>
    </r>
    <r>
      <rPr>
        <b/>
        <sz val="11"/>
        <color theme="1"/>
        <rFont val="Calibri"/>
        <family val="2"/>
        <scheme val="minor"/>
      </rPr>
      <t>Không tan trong:</t>
    </r>
    <r>
      <rPr>
        <sz val="11"/>
        <color theme="1"/>
        <rFont val="Calibri"/>
        <family val="2"/>
        <scheme val="minor"/>
      </rPr>
      <t xml:space="preserve"> insoluble in water</t>
    </r>
  </si>
  <si>
    <t>EMODIN EXTRACTION METHODS FROM POLYGONACEAE PLANTS</t>
  </si>
  <si>
    <t xml:space="preserve">The extraction can be made at a sample: solvent ratio of 1:20 w/v in ethanol. Best extraction conditions were obtained when samples were sonicated at 40 Hz frequency, 100 W, for 45 min </t>
  </si>
  <si>
    <t>IARC Working Group on the Evaluation of Carcinogenic Risks to Humans. Some Drugs and Herbal Products. Lyon (FR): International Agency for Research on Cancer; 2016. (IARC Monographs on the Evaluation of Carcinogenic Risks to Humans, No. 108.) 4, Mechanistic and Other Relevant Data. Available from: https://www.ncbi.nlm.nih.gov/books/NBK350484/</t>
  </si>
  <si>
    <t>[7]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</si>
</sst>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11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1" applyFont="1"/>
    <xf numFmtId="0" fontId="0" fillId="3" borderId="0" xfId="0" applyFill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65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0" xfId="2"/>
    <xf numFmtId="16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365760</xdr:colOff>
      <xdr:row>2</xdr:row>
      <xdr:rowOff>68580</xdr:rowOff>
    </xdr:from>
    <xdr:ext cx="2872740" cy="8305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A5323E-FDA4-43A8-A55B-01583BC5577F}"/>
                </a:ext>
              </a:extLst>
            </xdr:cNvPr>
            <xdr:cNvSpPr txBox="1"/>
          </xdr:nvSpPr>
          <xdr:spPr>
            <a:xfrm>
              <a:off x="4983480" y="434340"/>
              <a:ext cx="2872740" cy="83058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vi-VN" sz="14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m</m:t>
                    </m:r>
                    <m:r>
                      <a:rPr lang="vi-VN" sz="14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m:rPr>
                        <m:sty m:val="p"/>
                      </m:rPr>
                      <a:rPr lang="vi-VN" sz="14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g</m:t>
                    </m:r>
                    <m:r>
                      <a:rPr lang="vi-VN" sz="14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)=</m:t>
                    </m:r>
                    <m:f>
                      <m:fPr>
                        <m:ctrlPr>
                          <a:rPr lang="vi-VN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vi-VN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sub>
                        </m:sSub>
                        <m:d>
                          <m:dPr>
                            <m:ctrlPr>
                              <a:rPr lang="vi-VN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vi-VN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m:rPr>
                                    <m:sty m:val="p"/>
                                  </m:rPr>
                                  <a:rPr lang="vi-VN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mol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vi-VN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L</m:t>
                                </m:r>
                                <m:r>
                                  <a:rPr lang="vi-VN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í</m:t>
                                </m:r>
                                <m:r>
                                  <m:rPr>
                                    <m:sty m:val="p"/>
                                  </m:rPr>
                                  <a:rPr lang="vi-VN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t</m:t>
                                </m:r>
                              </m:den>
                            </m:f>
                          </m:e>
                        </m:d>
                        <m:r>
                          <a:rPr lang="vi-V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m:rPr>
                            <m:sty m:val="p"/>
                          </m:rPr>
                          <a:rPr lang="vi-VN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</m:t>
                        </m:r>
                        <m:d>
                          <m:dPr>
                            <m:ctrlPr>
                              <a:rPr lang="vi-VN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vi-VN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m:rPr>
                                    <m:sty m:val="p"/>
                                  </m:rPr>
                                  <a:rPr lang="vi-VN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g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vi-VN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mol</m:t>
                                </m:r>
                              </m:den>
                            </m:f>
                          </m:e>
                        </m:d>
                        <m:r>
                          <a:rPr lang="vi-V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sSub>
                          <m:sSubPr>
                            <m:ctrlPr>
                              <a:rPr lang="vi-VN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V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pha</m:t>
                            </m:r>
                          </m:sub>
                        </m:sSub>
                        <m:r>
                          <a:rPr lang="vi-V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vi-V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ml</m:t>
                        </m:r>
                        <m:r>
                          <a:rPr lang="vi-V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vi-VN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</m:t>
                        </m:r>
                        <m:r>
                          <a:rPr lang="vi-VN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r>
                          <m:rPr>
                            <m:sty m:val="p"/>
                          </m:rPr>
                          <a:rPr lang="vi-VN" sz="14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</m:t>
                        </m:r>
                        <m:r>
                          <a:rPr lang="vi-VN" sz="14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%</m:t>
                        </m:r>
                      </m:den>
                    </m:f>
                  </m:oMath>
                </m:oMathPara>
              </a14:m>
              <a:endParaRPr lang="en-US" sz="1400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A5323E-FDA4-43A8-A55B-01583BC5577F}"/>
                </a:ext>
              </a:extLst>
            </xdr:cNvPr>
            <xdr:cNvSpPr txBox="1"/>
          </xdr:nvSpPr>
          <xdr:spPr>
            <a:xfrm>
              <a:off x="4983480" y="434340"/>
              <a:ext cx="2872740" cy="830580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vi-VN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m(g)</a:t>
              </a:r>
              <a:r>
                <a:rPr lang="vi-VN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vi-VN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vi-V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C_M</a:t>
              </a:r>
              <a:r>
                <a:rPr lang="vi-V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(mol/Lít)×</a:t>
              </a:r>
              <a:r>
                <a:rPr lang="vi-VN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</a:t>
              </a:r>
              <a:r>
                <a:rPr lang="vi-V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(g/mol)×V_pha (</a:t>
              </a:r>
              <a:r>
                <a:rPr lang="vi-V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ml)</a:t>
              </a:r>
              <a:r>
                <a:rPr lang="vi-VN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)/(1000</a:t>
              </a:r>
              <a:r>
                <a:rPr lang="vi-VN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vi-VN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P%)</a:t>
              </a:r>
              <a:endParaRPr lang="en-US" sz="1400" i="0"/>
            </a:p>
          </xdr:txBody>
        </xdr:sp>
      </mc:Fallback>
    </mc:AlternateContent>
    <xdr:clientData/>
  </xdr:oneCellAnchor>
  <xdr:oneCellAnchor>
    <xdr:from>
      <xdr:col>6</xdr:col>
      <xdr:colOff>7620</xdr:colOff>
      <xdr:row>12</xdr:row>
      <xdr:rowOff>15240</xdr:rowOff>
    </xdr:from>
    <xdr:ext cx="3787140" cy="723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AB9C961-6CCC-C652-3E47-AAB28E1DFE52}"/>
                </a:ext>
              </a:extLst>
            </xdr:cNvPr>
            <xdr:cNvSpPr txBox="1"/>
          </xdr:nvSpPr>
          <xdr:spPr>
            <a:xfrm>
              <a:off x="4015740" y="2430780"/>
              <a:ext cx="3787140" cy="72390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vi-VN" sz="1200" i="1">
                        <a:latin typeface="Cambria Math" panose="02040503050406030204" pitchFamily="18" charset="0"/>
                      </a:rPr>
                      <m:t>V</m:t>
                    </m:r>
                    <m:r>
                      <a:rPr lang="vi-VN" sz="1200" b="0" i="1">
                        <a:latin typeface="Cambria Math" panose="02040503050406030204" pitchFamily="18" charset="0"/>
                      </a:rPr>
                      <m:t>_</m:t>
                    </m:r>
                    <m:sSubSup>
                      <m:sSubSup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vi-VN" sz="1200" i="1">
                            <a:latin typeface="Cambria Math" panose="02040503050406030204" pitchFamily="18" charset="0"/>
                          </a:rPr>
                          <m:t>Fe</m:t>
                        </m:r>
                      </m:e>
                      <m:sub>
                        <m:r>
                          <a:rPr lang="vi-VN" sz="1200" i="1">
                            <a:latin typeface="Cambria Math" panose="02040503050406030204" pitchFamily="18" charset="0"/>
                          </a:rPr>
                          <m:t>1000</m:t>
                        </m:r>
                        <m:r>
                          <m:rPr>
                            <m:sty m:val="p"/>
                          </m:rPr>
                          <a:rPr lang="vi-VN" sz="1200" i="1">
                            <a:latin typeface="Cambria Math" panose="02040503050406030204" pitchFamily="18" charset="0"/>
                          </a:rPr>
                          <m:t>ppm</m:t>
                        </m:r>
                      </m:sub>
                      <m:sup>
                        <m:r>
                          <a:rPr lang="vi-VN" sz="120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vi-VN" sz="12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bSup>
                    <m:r>
                      <a:rPr lang="vi-VN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vi-VN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C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pha</m:t>
                            </m:r>
                          </m:sub>
                        </m:sSub>
                        <m:r>
                          <a:rPr lang="vi-VN" sz="1200" b="0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mol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den>
                        </m:f>
                        <m:r>
                          <a:rPr lang="vi-VN" sz="1200" b="0" i="1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vi-VN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V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pha</m:t>
                            </m:r>
                          </m:sub>
                        </m:sSub>
                        <m:r>
                          <a:rPr lang="vi-VN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vi-VN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ml</m:t>
                        </m:r>
                        <m:r>
                          <a:rPr lang="vi-VN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)×</m:t>
                        </m:r>
                        <m:r>
                          <m:rPr>
                            <m:sty m:val="p"/>
                          </m:rPr>
                          <a:rPr lang="vi-VN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</m:t>
                        </m:r>
                        <m:r>
                          <a:rPr lang="vi-VN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g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mol</m:t>
                            </m:r>
                          </m:den>
                        </m:f>
                        <m:r>
                          <a:rPr lang="vi-VN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C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ppm</m:t>
                            </m:r>
                          </m:sub>
                        </m:sSub>
                        <m:r>
                          <a:rPr lang="vi-VN" sz="1200" b="0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mg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den>
                        </m:f>
                        <m:r>
                          <a:rPr lang="vi-VN" sz="12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vi-VN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×1000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AB9C961-6CCC-C652-3E47-AAB28E1DFE52}"/>
                </a:ext>
              </a:extLst>
            </xdr:cNvPr>
            <xdr:cNvSpPr txBox="1"/>
          </xdr:nvSpPr>
          <xdr:spPr>
            <a:xfrm>
              <a:off x="4015740" y="2430780"/>
              <a:ext cx="3787140" cy="72390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vi-VN" sz="1200" i="0">
                  <a:latin typeface="Cambria Math" panose="02040503050406030204" pitchFamily="18" charset="0"/>
                </a:rPr>
                <a:t>V</a:t>
              </a:r>
              <a:r>
                <a:rPr lang="vi-VN" sz="1200" b="0" i="0">
                  <a:latin typeface="Cambria Math" panose="02040503050406030204" pitchFamily="18" charset="0"/>
                </a:rPr>
                <a:t>_</a:t>
              </a:r>
              <a:r>
                <a:rPr lang="vi-VN" sz="1200" i="0">
                  <a:latin typeface="Cambria Math" panose="02040503050406030204" pitchFamily="18" charset="0"/>
                </a:rPr>
                <a:t>Fe</a:t>
              </a:r>
              <a:r>
                <a:rPr lang="en-US" sz="1200" i="0">
                  <a:latin typeface="Cambria Math" panose="02040503050406030204" pitchFamily="18" charset="0"/>
                </a:rPr>
                <a:t>_</a:t>
              </a:r>
              <a:r>
                <a:rPr lang="vi-VN" sz="1200" i="0">
                  <a:latin typeface="Cambria Math" panose="02040503050406030204" pitchFamily="18" charset="0"/>
                </a:rPr>
                <a:t>1000ppm</a:t>
              </a:r>
              <a:r>
                <a:rPr lang="en-US" sz="1200" i="0">
                  <a:latin typeface="Cambria Math" panose="02040503050406030204" pitchFamily="18" charset="0"/>
                </a:rPr>
                <a:t>^(</a:t>
              </a:r>
              <a:r>
                <a:rPr lang="vi-VN" sz="1200" i="0">
                  <a:latin typeface="Cambria Math" panose="02040503050406030204" pitchFamily="18" charset="0"/>
                </a:rPr>
                <a:t>3</a:t>
              </a:r>
              <a:r>
                <a:rPr lang="vi-VN" sz="1200" b="0" i="0">
                  <a:latin typeface="Cambria Math" panose="02040503050406030204" pitchFamily="18" charset="0"/>
                </a:rPr>
                <a:t>+</a:t>
              </a:r>
              <a:r>
                <a:rPr lang="en-US" sz="1200" b="0" i="0">
                  <a:latin typeface="Cambria Math" panose="02040503050406030204" pitchFamily="18" charset="0"/>
                </a:rPr>
                <a:t>)</a:t>
              </a:r>
              <a:r>
                <a:rPr lang="vi-VN" sz="1200" b="0" i="0">
                  <a:latin typeface="Cambria Math" panose="02040503050406030204" pitchFamily="18" charset="0"/>
                </a:rPr>
                <a:t>=(C_pha (mol/L)</a:t>
              </a:r>
              <a:r>
                <a:rPr lang="vi-VN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×V_pha (ml)×M(g/mol))/(</a:t>
              </a:r>
              <a:r>
                <a:rPr lang="vi-VN" sz="1200" b="0" i="0">
                  <a:latin typeface="Cambria Math" panose="02040503050406030204" pitchFamily="18" charset="0"/>
                </a:rPr>
                <a:t>C_ppm (mg/L))</a:t>
              </a:r>
              <a:r>
                <a:rPr lang="vi-VN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×1000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236220</xdr:colOff>
      <xdr:row>24</xdr:row>
      <xdr:rowOff>45720</xdr:rowOff>
    </xdr:from>
    <xdr:ext cx="2956560" cy="586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C596508-0714-4335-A390-ACDAEF85A548}"/>
                </a:ext>
              </a:extLst>
            </xdr:cNvPr>
            <xdr:cNvSpPr txBox="1"/>
          </xdr:nvSpPr>
          <xdr:spPr>
            <a:xfrm>
              <a:off x="4594860" y="4556760"/>
              <a:ext cx="2956560" cy="58674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vi-VN" sz="120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vi-VN" sz="1200" i="0">
                            <a:latin typeface="Cambria Math" panose="02040503050406030204" pitchFamily="18" charset="0"/>
                          </a:rPr>
                          <m:t>gram</m:t>
                        </m:r>
                      </m:sub>
                      <m:sup>
                        <m:sSup>
                          <m:sSupPr>
                            <m:ctrlPr>
                              <a:rPr lang="en-US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vi-VN" sz="1200" i="0">
                                <a:latin typeface="Cambria Math" panose="02040503050406030204" pitchFamily="18" charset="0"/>
                              </a:rPr>
                              <m:t>Fe</m:t>
                            </m:r>
                          </m:e>
                          <m:sup>
                            <m:r>
                              <a:rPr lang="vi-VN" sz="1200" i="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vi-VN" sz="1200" b="0" i="0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</m:sup>
                    </m:sSubSup>
                    <m:r>
                      <a:rPr lang="vi-VN" sz="12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vi-VN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C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pha</m:t>
                            </m:r>
                          </m:sub>
                        </m:sSub>
                        <m:r>
                          <a:rPr lang="vi-VN" sz="1200" b="0" i="0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mol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L</m:t>
                            </m:r>
                          </m:den>
                        </m:f>
                        <m:r>
                          <a:rPr lang="vi-VN" sz="1200" b="0" i="0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V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pha</m:t>
                            </m:r>
                          </m:sub>
                        </m:sSub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ml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)×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g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mol</m:t>
                            </m:r>
                          </m:den>
                        </m:f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vi-VN" sz="1200" b="0" i="1">
                            <a:latin typeface="Cambria Math" panose="02040503050406030204" pitchFamily="18" charset="0"/>
                          </a:rPr>
                          <m:t>1000</m:t>
                        </m:r>
                        <m:r>
                          <a:rPr lang="vi-V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</m:t>
                        </m:r>
                        <m: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%×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α</m:t>
                        </m:r>
                      </m:den>
                    </m:f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C596508-0714-4335-A390-ACDAEF85A548}"/>
                </a:ext>
              </a:extLst>
            </xdr:cNvPr>
            <xdr:cNvSpPr txBox="1"/>
          </xdr:nvSpPr>
          <xdr:spPr>
            <a:xfrm>
              <a:off x="4594860" y="4556760"/>
              <a:ext cx="2956560" cy="58674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vi-VN" sz="1200" i="0">
                  <a:latin typeface="Cambria Math" panose="02040503050406030204" pitchFamily="18" charset="0"/>
                </a:rPr>
                <a:t>m</a:t>
              </a:r>
              <a:r>
                <a:rPr lang="en-US" sz="1200" i="0">
                  <a:latin typeface="Cambria Math" panose="02040503050406030204" pitchFamily="18" charset="0"/>
                </a:rPr>
                <a:t>_</a:t>
              </a:r>
              <a:r>
                <a:rPr lang="vi-VN" sz="1200" i="0">
                  <a:latin typeface="Cambria Math" panose="02040503050406030204" pitchFamily="18" charset="0"/>
                </a:rPr>
                <a:t>gram</a:t>
              </a:r>
              <a:r>
                <a:rPr lang="en-US" sz="1200" i="0">
                  <a:latin typeface="Cambria Math" panose="02040503050406030204" pitchFamily="18" charset="0"/>
                </a:rPr>
                <a:t>^(</a:t>
              </a:r>
              <a:r>
                <a:rPr lang="vi-VN" sz="1200" i="0">
                  <a:latin typeface="Cambria Math" panose="02040503050406030204" pitchFamily="18" charset="0"/>
                </a:rPr>
                <a:t>Fe</a:t>
              </a:r>
              <a:r>
                <a:rPr lang="en-US" sz="1200" i="0">
                  <a:latin typeface="Cambria Math" panose="02040503050406030204" pitchFamily="18" charset="0"/>
                </a:rPr>
                <a:t>^(</a:t>
              </a:r>
              <a:r>
                <a:rPr lang="vi-VN" sz="1200" i="0">
                  <a:latin typeface="Cambria Math" panose="02040503050406030204" pitchFamily="18" charset="0"/>
                </a:rPr>
                <a:t>3</a:t>
              </a:r>
              <a:r>
                <a:rPr lang="vi-VN" sz="1200" b="0" i="0">
                  <a:latin typeface="Cambria Math" panose="02040503050406030204" pitchFamily="18" charset="0"/>
                </a:rPr>
                <a:t>+</a:t>
              </a:r>
              <a:r>
                <a:rPr lang="en-US" sz="1200" b="0" i="0">
                  <a:latin typeface="Cambria Math" panose="02040503050406030204" pitchFamily="18" charset="0"/>
                </a:rPr>
                <a:t>) )</a:t>
              </a:r>
              <a:r>
                <a:rPr lang="vi-VN" sz="1200" b="0" i="0">
                  <a:latin typeface="Cambria Math" panose="02040503050406030204" pitchFamily="18" charset="0"/>
                </a:rPr>
                <a:t>=(C_pha (mol/L)</a:t>
              </a:r>
              <a:r>
                <a:rPr lang="vi-VN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×V_pha (ml)×M(g/mol))/(</a:t>
              </a:r>
              <a:r>
                <a:rPr lang="vi-VN" sz="1200" b="0" i="0">
                  <a:latin typeface="Cambria Math" panose="02040503050406030204" pitchFamily="18" charset="0"/>
                </a:rPr>
                <a:t>1000</a:t>
              </a:r>
              <a:r>
                <a:rPr lang="vi-V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×</a:t>
              </a:r>
              <a:r>
                <a:rPr lang="vi-VN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P%</a:t>
              </a:r>
              <a:r>
                <a:rPr lang="vi-VN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×α)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6</xdr:col>
      <xdr:colOff>167640</xdr:colOff>
      <xdr:row>34</xdr:row>
      <xdr:rowOff>167640</xdr:rowOff>
    </xdr:from>
    <xdr:ext cx="2727960" cy="586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8134029-3FF8-4CED-A31A-D81CA84B2684}"/>
                </a:ext>
              </a:extLst>
            </xdr:cNvPr>
            <xdr:cNvSpPr txBox="1"/>
          </xdr:nvSpPr>
          <xdr:spPr>
            <a:xfrm>
              <a:off x="4526280" y="6568440"/>
              <a:ext cx="2727960" cy="58674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vi-VN" sz="1200" i="1">
                            <a:latin typeface="Cambria Math" panose="02040503050406030204" pitchFamily="18" charset="0"/>
                          </a:rPr>
                          <m:t>V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vi-VN" sz="1200" i="1">
                            <a:latin typeface="Cambria Math" panose="02040503050406030204" pitchFamily="18" charset="0"/>
                          </a:rPr>
                          <m:t>mL</m:t>
                        </m:r>
                      </m:sub>
                      <m:sup>
                        <m:r>
                          <m:rPr>
                            <m:sty m:val="p"/>
                          </m:rPr>
                          <a:rPr lang="vi-VN" sz="1200" i="1">
                            <a:latin typeface="Cambria Math" panose="02040503050406030204" pitchFamily="18" charset="0"/>
                          </a:rPr>
                          <m:t>HCl</m:t>
                        </m:r>
                      </m:sup>
                    </m:sSubSup>
                    <m:r>
                      <a:rPr lang="vi-VN" sz="12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vi-VN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C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1">
                                <a:latin typeface="Cambria Math" panose="02040503050406030204" pitchFamily="18" charset="0"/>
                              </a:rPr>
                              <m:t>pha</m:t>
                            </m:r>
                          </m:sub>
                        </m:sSub>
                        <m:r>
                          <a:rPr lang="vi-VN" sz="1200" b="0" i="0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mol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L</m:t>
                            </m:r>
                          </m:den>
                        </m:f>
                        <m:r>
                          <a:rPr lang="vi-VN" sz="1200" b="0" i="0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V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pha</m:t>
                            </m:r>
                          </m:sub>
                        </m:sSub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ml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)×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g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mol</m:t>
                            </m:r>
                          </m:den>
                        </m:f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vi-VN" sz="1200" b="0" i="1">
                            <a:latin typeface="Cambria Math" panose="02040503050406030204" pitchFamily="18" charset="0"/>
                          </a:rPr>
                          <m:t>1000</m:t>
                        </m:r>
                        <m:r>
                          <a:rPr lang="vi-V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</m:t>
                        </m:r>
                        <m: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%×</m:t>
                        </m:r>
                        <m:r>
                          <m:rPr>
                            <m:sty m:val="p"/>
                          </m:rPr>
                          <a:rPr lang="vi-VN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d</m:t>
                        </m:r>
                        <m: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g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ml</m:t>
                            </m:r>
                          </m:den>
                        </m:f>
                        <m: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8134029-3FF8-4CED-A31A-D81CA84B2684}"/>
                </a:ext>
              </a:extLst>
            </xdr:cNvPr>
            <xdr:cNvSpPr txBox="1"/>
          </xdr:nvSpPr>
          <xdr:spPr>
            <a:xfrm>
              <a:off x="4526280" y="6568440"/>
              <a:ext cx="2727960" cy="58674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vi-VN" sz="1200" i="0">
                  <a:latin typeface="Cambria Math" panose="02040503050406030204" pitchFamily="18" charset="0"/>
                </a:rPr>
                <a:t>V</a:t>
              </a:r>
              <a:r>
                <a:rPr lang="en-US" sz="1200" i="0">
                  <a:latin typeface="Cambria Math" panose="02040503050406030204" pitchFamily="18" charset="0"/>
                </a:rPr>
                <a:t>_</a:t>
              </a:r>
              <a:r>
                <a:rPr lang="vi-VN" sz="1200" i="0">
                  <a:latin typeface="Cambria Math" panose="02040503050406030204" pitchFamily="18" charset="0"/>
                </a:rPr>
                <a:t>mL</a:t>
              </a:r>
              <a:r>
                <a:rPr lang="en-US" sz="1200" i="0">
                  <a:latin typeface="Cambria Math" panose="02040503050406030204" pitchFamily="18" charset="0"/>
                </a:rPr>
                <a:t>^</a:t>
              </a:r>
              <a:r>
                <a:rPr lang="vi-VN" sz="1200" i="0">
                  <a:latin typeface="Cambria Math" panose="02040503050406030204" pitchFamily="18" charset="0"/>
                </a:rPr>
                <a:t>HCl</a:t>
              </a:r>
              <a:r>
                <a:rPr lang="vi-VN" sz="1200" b="0" i="0">
                  <a:latin typeface="Cambria Math" panose="02040503050406030204" pitchFamily="18" charset="0"/>
                </a:rPr>
                <a:t>=(C_pha (mol/L)</a:t>
              </a:r>
              <a:r>
                <a:rPr lang="vi-VN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×V_pha (ml)×M(g/mol))/(</a:t>
              </a:r>
              <a:r>
                <a:rPr lang="vi-VN" sz="1200" b="0" i="0">
                  <a:latin typeface="Cambria Math" panose="02040503050406030204" pitchFamily="18" charset="0"/>
                </a:rPr>
                <a:t>1000</a:t>
              </a:r>
              <a:r>
                <a:rPr lang="vi-V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×</a:t>
              </a:r>
              <a:r>
                <a:rPr lang="vi-VN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P%</a:t>
              </a:r>
              <a:r>
                <a:rPr lang="vi-VN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×d(g/ml))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6</xdr:col>
      <xdr:colOff>22860</xdr:colOff>
      <xdr:row>44</xdr:row>
      <xdr:rowOff>160020</xdr:rowOff>
    </xdr:from>
    <xdr:ext cx="3230880" cy="586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CA30594-24AB-4251-85CF-FAD9F5584CC1}"/>
                </a:ext>
              </a:extLst>
            </xdr:cNvPr>
            <xdr:cNvSpPr txBox="1"/>
          </xdr:nvSpPr>
          <xdr:spPr>
            <a:xfrm>
              <a:off x="4381500" y="8389620"/>
              <a:ext cx="3230880" cy="58674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vi-VN" sz="120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vi-VN" sz="1200" i="0">
                            <a:latin typeface="Cambria Math" panose="02040503050406030204" pitchFamily="18" charset="0"/>
                          </a:rPr>
                          <m:t>gram</m:t>
                        </m:r>
                      </m:sub>
                      <m:sup>
                        <m:sSup>
                          <m:sSupPr>
                            <m:ctrlPr>
                              <a:rPr lang="en-US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vi-VN" sz="1200" i="0">
                                <a:latin typeface="Cambria Math" panose="02040503050406030204" pitchFamily="18" charset="0"/>
                              </a:rPr>
                              <m:t>Fe</m:t>
                            </m:r>
                          </m:e>
                          <m:sup>
                            <m:r>
                              <a:rPr lang="vi-VN" sz="1200" i="0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vi-VN" sz="1200" b="0" i="0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</m:sup>
                    </m:sSubSup>
                    <m:r>
                      <a:rPr lang="vi-VN" sz="12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vi-VN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C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pha</m:t>
                            </m:r>
                          </m:sub>
                        </m:sSub>
                        <m:r>
                          <a:rPr lang="vi-VN" sz="1200" b="0" i="0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mol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</a:rPr>
                              <m:t>L</m:t>
                            </m:r>
                          </m:den>
                        </m:f>
                        <m:r>
                          <a:rPr lang="vi-VN" sz="1200" b="0" i="0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V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pha</m:t>
                            </m:r>
                          </m:sub>
                        </m:sSub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ml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)×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</m:t>
                        </m:r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vi-VN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g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vi-VN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mol</m:t>
                            </m:r>
                          </m:den>
                        </m:f>
                        <m:r>
                          <a:rPr lang="vi-VN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vi-VN" sz="1200" b="0" i="1">
                            <a:latin typeface="Cambria Math" panose="02040503050406030204" pitchFamily="18" charset="0"/>
                          </a:rPr>
                          <m:t>1000</m:t>
                        </m:r>
                        <m:r>
                          <a:rPr lang="vi-VN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m:rPr>
                            <m:sty m:val="p"/>
                          </m:rP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</m:t>
                        </m:r>
                        <m:r>
                          <a:rPr lang="vi-VN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%</m:t>
                        </m:r>
                      </m:den>
                    </m:f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CA30594-24AB-4251-85CF-FAD9F5584CC1}"/>
                </a:ext>
              </a:extLst>
            </xdr:cNvPr>
            <xdr:cNvSpPr txBox="1"/>
          </xdr:nvSpPr>
          <xdr:spPr>
            <a:xfrm>
              <a:off x="4381500" y="8389620"/>
              <a:ext cx="3230880" cy="58674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vi-VN" sz="1200" i="0">
                  <a:latin typeface="Cambria Math" panose="02040503050406030204" pitchFamily="18" charset="0"/>
                </a:rPr>
                <a:t>m</a:t>
              </a:r>
              <a:r>
                <a:rPr lang="en-US" sz="1200" i="0">
                  <a:latin typeface="Cambria Math" panose="02040503050406030204" pitchFamily="18" charset="0"/>
                </a:rPr>
                <a:t>_</a:t>
              </a:r>
              <a:r>
                <a:rPr lang="vi-VN" sz="1200" i="0">
                  <a:latin typeface="Cambria Math" panose="02040503050406030204" pitchFamily="18" charset="0"/>
                </a:rPr>
                <a:t>gram</a:t>
              </a:r>
              <a:r>
                <a:rPr lang="en-US" sz="1200" i="0">
                  <a:latin typeface="Cambria Math" panose="02040503050406030204" pitchFamily="18" charset="0"/>
                </a:rPr>
                <a:t>^(</a:t>
              </a:r>
              <a:r>
                <a:rPr lang="vi-VN" sz="1200" i="0">
                  <a:latin typeface="Cambria Math" panose="02040503050406030204" pitchFamily="18" charset="0"/>
                </a:rPr>
                <a:t>Fe</a:t>
              </a:r>
              <a:r>
                <a:rPr lang="en-US" sz="1200" i="0">
                  <a:latin typeface="Cambria Math" panose="02040503050406030204" pitchFamily="18" charset="0"/>
                </a:rPr>
                <a:t>^(</a:t>
              </a:r>
              <a:r>
                <a:rPr lang="vi-VN" sz="1200" i="0">
                  <a:latin typeface="Cambria Math" panose="02040503050406030204" pitchFamily="18" charset="0"/>
                </a:rPr>
                <a:t>3</a:t>
              </a:r>
              <a:r>
                <a:rPr lang="vi-VN" sz="1200" b="0" i="0">
                  <a:latin typeface="Cambria Math" panose="02040503050406030204" pitchFamily="18" charset="0"/>
                </a:rPr>
                <a:t>+</a:t>
              </a:r>
              <a:r>
                <a:rPr lang="en-US" sz="1200" b="0" i="0">
                  <a:latin typeface="Cambria Math" panose="02040503050406030204" pitchFamily="18" charset="0"/>
                </a:rPr>
                <a:t>) )</a:t>
              </a:r>
              <a:r>
                <a:rPr lang="vi-VN" sz="1200" b="0" i="0">
                  <a:latin typeface="Cambria Math" panose="02040503050406030204" pitchFamily="18" charset="0"/>
                </a:rPr>
                <a:t>=(C_pha (mol/L)</a:t>
              </a:r>
              <a:r>
                <a:rPr lang="vi-VN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×V_pha (ml)×M(g/mol))/(</a:t>
              </a:r>
              <a:r>
                <a:rPr lang="vi-VN" sz="1200" b="0" i="0">
                  <a:latin typeface="Cambria Math" panose="02040503050406030204" pitchFamily="18" charset="0"/>
                </a:rPr>
                <a:t>1000</a:t>
              </a:r>
              <a:r>
                <a:rPr lang="vi-VN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×</a:t>
              </a:r>
              <a:r>
                <a:rPr lang="vi-VN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P%)</a:t>
              </a:r>
              <a:endParaRPr lang="en-US" sz="1100" i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1</xdr:row>
      <xdr:rowOff>136244</xdr:rowOff>
    </xdr:from>
    <xdr:to>
      <xdr:col>2</xdr:col>
      <xdr:colOff>3535680</xdr:colOff>
      <xdr:row>1</xdr:row>
      <xdr:rowOff>1485899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052DE-E5BC-128C-D494-E269E91A9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1860" y="319124"/>
          <a:ext cx="3429000" cy="1349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5536-D5C7-4242-849D-7ADED71B8E99}">
  <dimension ref="A2:F69"/>
  <sheetViews>
    <sheetView topLeftCell="A46" workbookViewId="0">
      <selection activeCell="J59" sqref="J59"/>
    </sheetView>
  </sheetViews>
  <sheetFormatPr defaultRowHeight="14.4" x14ac:dyDescent="0.3"/>
  <cols>
    <col min="1" max="1" width="14.6640625" customWidth="1"/>
    <col min="3" max="3" width="11.88671875" bestFit="1" customWidth="1"/>
    <col min="4" max="4" width="9.5546875" customWidth="1"/>
    <col min="5" max="5" width="15.33203125" customWidth="1"/>
  </cols>
  <sheetData>
    <row r="2" spans="1:5" x14ac:dyDescent="0.3">
      <c r="A2" s="2" t="s">
        <v>0</v>
      </c>
    </row>
    <row r="3" spans="1:5" x14ac:dyDescent="0.3">
      <c r="C3" t="s">
        <v>1</v>
      </c>
      <c r="D3">
        <v>270.24</v>
      </c>
      <c r="E3" t="s">
        <v>2</v>
      </c>
    </row>
    <row r="4" spans="1:5" x14ac:dyDescent="0.3">
      <c r="B4" s="6" t="s">
        <v>15</v>
      </c>
      <c r="C4" s="20" t="s">
        <v>5</v>
      </c>
      <c r="D4">
        <f>(D8*D3*D7)/(1000*D6)</f>
        <v>2.7024000000000002E-3</v>
      </c>
      <c r="E4" t="s">
        <v>7</v>
      </c>
    </row>
    <row r="5" spans="1:5" x14ac:dyDescent="0.3">
      <c r="C5" s="20"/>
      <c r="D5">
        <f>D4*10^3</f>
        <v>2.7024000000000004</v>
      </c>
      <c r="E5" t="s">
        <v>6</v>
      </c>
    </row>
    <row r="6" spans="1:5" x14ac:dyDescent="0.3">
      <c r="B6" s="19" t="s">
        <v>14</v>
      </c>
      <c r="C6" s="3" t="s">
        <v>19</v>
      </c>
      <c r="D6" s="5">
        <v>1</v>
      </c>
      <c r="E6" s="7" t="s">
        <v>20</v>
      </c>
    </row>
    <row r="7" spans="1:5" x14ac:dyDescent="0.3">
      <c r="B7" s="19"/>
      <c r="C7" t="s">
        <v>4</v>
      </c>
      <c r="D7">
        <v>100</v>
      </c>
      <c r="E7" t="s">
        <v>3</v>
      </c>
    </row>
    <row r="8" spans="1:5" ht="15.6" x14ac:dyDescent="0.3">
      <c r="B8" s="19"/>
      <c r="C8" s="3" t="s">
        <v>9</v>
      </c>
      <c r="D8" s="1">
        <f>10^-4</f>
        <v>1E-4</v>
      </c>
      <c r="E8" t="s">
        <v>8</v>
      </c>
    </row>
    <row r="9" spans="1:5" ht="16.2" x14ac:dyDescent="0.3">
      <c r="C9" s="3" t="s">
        <v>9</v>
      </c>
      <c r="D9">
        <f>D8*10^3</f>
        <v>0.1</v>
      </c>
      <c r="E9" t="s">
        <v>24</v>
      </c>
    </row>
    <row r="11" spans="1:5" x14ac:dyDescent="0.3">
      <c r="A11" s="2" t="s">
        <v>10</v>
      </c>
    </row>
    <row r="12" spans="1:5" x14ac:dyDescent="0.3">
      <c r="B12" s="21" t="s">
        <v>22</v>
      </c>
      <c r="C12" s="21"/>
      <c r="D12" s="21"/>
      <c r="E12" s="21"/>
    </row>
    <row r="13" spans="1:5" x14ac:dyDescent="0.3">
      <c r="C13" t="s">
        <v>13</v>
      </c>
      <c r="D13">
        <v>55.844999999999999</v>
      </c>
      <c r="E13" t="s">
        <v>2</v>
      </c>
    </row>
    <row r="14" spans="1:5" ht="15.6" x14ac:dyDescent="0.35">
      <c r="B14" s="6" t="s">
        <v>15</v>
      </c>
      <c r="C14" t="s">
        <v>17</v>
      </c>
      <c r="D14">
        <f>D17*D16*D13/D15*1000</f>
        <v>11.169</v>
      </c>
      <c r="E14" t="s">
        <v>16</v>
      </c>
    </row>
    <row r="15" spans="1:5" x14ac:dyDescent="0.3">
      <c r="B15" s="19" t="s">
        <v>14</v>
      </c>
      <c r="C15" t="s">
        <v>11</v>
      </c>
      <c r="D15">
        <v>1000</v>
      </c>
      <c r="E15" t="s">
        <v>12</v>
      </c>
    </row>
    <row r="16" spans="1:5" ht="15" customHeight="1" x14ac:dyDescent="0.35">
      <c r="B16" s="19"/>
      <c r="C16" t="s">
        <v>18</v>
      </c>
      <c r="D16">
        <v>20</v>
      </c>
      <c r="E16" t="s">
        <v>16</v>
      </c>
    </row>
    <row r="17" spans="1:5" ht="15.6" x14ac:dyDescent="0.35">
      <c r="B17" s="19"/>
      <c r="C17" t="s">
        <v>25</v>
      </c>
      <c r="D17" s="1">
        <f>10^-2</f>
        <v>0.01</v>
      </c>
      <c r="E17" t="s">
        <v>8</v>
      </c>
    </row>
    <row r="18" spans="1:5" ht="16.8" x14ac:dyDescent="0.35">
      <c r="C18" t="s">
        <v>9</v>
      </c>
      <c r="D18">
        <f>D17*10^3</f>
        <v>10</v>
      </c>
      <c r="E18" t="s">
        <v>24</v>
      </c>
    </row>
    <row r="20" spans="1:5" x14ac:dyDescent="0.3">
      <c r="B20" s="21" t="s">
        <v>23</v>
      </c>
      <c r="C20" s="21"/>
      <c r="D20" s="21"/>
      <c r="E20" s="21"/>
    </row>
    <row r="21" spans="1:5" ht="15.6" x14ac:dyDescent="0.35">
      <c r="C21" t="s">
        <v>27</v>
      </c>
    </row>
    <row r="22" spans="1:5" x14ac:dyDescent="0.3">
      <c r="C22" t="s">
        <v>1</v>
      </c>
      <c r="D22">
        <v>399.88</v>
      </c>
      <c r="E22" t="s">
        <v>2</v>
      </c>
    </row>
    <row r="23" spans="1:5" x14ac:dyDescent="0.3">
      <c r="B23" s="6" t="s">
        <v>15</v>
      </c>
      <c r="C23" s="20" t="s">
        <v>5</v>
      </c>
      <c r="D23">
        <f>(D28*D26*D22)/(1000*D25*D27)</f>
        <v>3.9988000000000003E-2</v>
      </c>
      <c r="E23" t="s">
        <v>7</v>
      </c>
    </row>
    <row r="24" spans="1:5" x14ac:dyDescent="0.3">
      <c r="C24" s="20"/>
      <c r="D24">
        <f>D23*10^3</f>
        <v>39.988</v>
      </c>
      <c r="E24" t="s">
        <v>6</v>
      </c>
    </row>
    <row r="25" spans="1:5" x14ac:dyDescent="0.3">
      <c r="B25" s="19" t="s">
        <v>14</v>
      </c>
      <c r="C25" s="3" t="s">
        <v>19</v>
      </c>
      <c r="D25" s="5">
        <v>1</v>
      </c>
      <c r="E25" s="7" t="s">
        <v>20</v>
      </c>
    </row>
    <row r="26" spans="1:5" x14ac:dyDescent="0.3">
      <c r="B26" s="19"/>
      <c r="C26" s="3" t="s">
        <v>28</v>
      </c>
      <c r="D26">
        <v>20</v>
      </c>
      <c r="E26" t="s">
        <v>3</v>
      </c>
    </row>
    <row r="27" spans="1:5" ht="16.2" x14ac:dyDescent="0.3">
      <c r="B27" s="19"/>
      <c r="C27" s="8" t="s">
        <v>21</v>
      </c>
      <c r="D27">
        <v>2</v>
      </c>
    </row>
    <row r="28" spans="1:5" ht="15.6" x14ac:dyDescent="0.3">
      <c r="B28" s="19"/>
      <c r="C28" s="3" t="s">
        <v>26</v>
      </c>
      <c r="D28" s="9">
        <v>0.01</v>
      </c>
      <c r="E28" t="s">
        <v>8</v>
      </c>
    </row>
    <row r="29" spans="1:5" ht="16.2" x14ac:dyDescent="0.3">
      <c r="C29" s="3" t="s">
        <v>9</v>
      </c>
      <c r="D29">
        <f>D28*10^3</f>
        <v>10</v>
      </c>
      <c r="E29" t="s">
        <v>24</v>
      </c>
    </row>
    <row r="32" spans="1:5" x14ac:dyDescent="0.3">
      <c r="A32" s="11" t="s">
        <v>29</v>
      </c>
    </row>
    <row r="33" spans="1:5" x14ac:dyDescent="0.3">
      <c r="B33" s="6" t="s">
        <v>15</v>
      </c>
      <c r="C33" s="20" t="s">
        <v>34</v>
      </c>
      <c r="D33">
        <f>(D38*D39*D35)/(1000*D36*D37)</f>
        <v>4.180027485112231E-2</v>
      </c>
      <c r="E33" t="s">
        <v>16</v>
      </c>
    </row>
    <row r="34" spans="1:5" x14ac:dyDescent="0.3">
      <c r="C34" s="20"/>
      <c r="D34">
        <f>D33*1000</f>
        <v>41.80027485112231</v>
      </c>
      <c r="E34" t="s">
        <v>37</v>
      </c>
    </row>
    <row r="35" spans="1:5" x14ac:dyDescent="0.3">
      <c r="C35" s="3" t="s">
        <v>35</v>
      </c>
      <c r="D35">
        <v>36.5</v>
      </c>
      <c r="E35" t="s">
        <v>2</v>
      </c>
    </row>
    <row r="36" spans="1:5" x14ac:dyDescent="0.3">
      <c r="B36" s="19" t="s">
        <v>14</v>
      </c>
      <c r="C36" s="3" t="s">
        <v>11</v>
      </c>
      <c r="D36" s="10">
        <v>0.37</v>
      </c>
      <c r="E36" t="s">
        <v>36</v>
      </c>
    </row>
    <row r="37" spans="1:5" x14ac:dyDescent="0.3">
      <c r="B37" s="19"/>
      <c r="C37" s="3" t="s">
        <v>32</v>
      </c>
      <c r="D37">
        <v>1.18</v>
      </c>
      <c r="E37" t="s">
        <v>33</v>
      </c>
    </row>
    <row r="38" spans="1:5" x14ac:dyDescent="0.3">
      <c r="B38" s="19"/>
      <c r="C38" s="3" t="s">
        <v>31</v>
      </c>
      <c r="D38">
        <v>0.01</v>
      </c>
      <c r="E38" t="s">
        <v>30</v>
      </c>
    </row>
    <row r="39" spans="1:5" x14ac:dyDescent="0.3">
      <c r="B39" s="19"/>
      <c r="C39" s="3" t="s">
        <v>28</v>
      </c>
      <c r="D39">
        <v>50</v>
      </c>
      <c r="E39" t="s">
        <v>16</v>
      </c>
    </row>
    <row r="42" spans="1:5" x14ac:dyDescent="0.3">
      <c r="A42" s="11" t="s">
        <v>38</v>
      </c>
    </row>
    <row r="43" spans="1:5" x14ac:dyDescent="0.3">
      <c r="C43" t="s">
        <v>1</v>
      </c>
      <c r="D43">
        <v>40</v>
      </c>
      <c r="E43" t="s">
        <v>2</v>
      </c>
    </row>
    <row r="44" spans="1:5" x14ac:dyDescent="0.3">
      <c r="B44" s="6" t="s">
        <v>15</v>
      </c>
      <c r="C44" s="4" t="s">
        <v>5</v>
      </c>
      <c r="D44">
        <f>(D48*D47*D43)/(1000*D46)</f>
        <v>2.0408163265306121E-2</v>
      </c>
      <c r="E44" t="s">
        <v>7</v>
      </c>
    </row>
    <row r="45" spans="1:5" x14ac:dyDescent="0.3">
      <c r="D45">
        <f>D44*10^3</f>
        <v>20.408163265306122</v>
      </c>
      <c r="E45" t="s">
        <v>6</v>
      </c>
    </row>
    <row r="46" spans="1:5" x14ac:dyDescent="0.3">
      <c r="B46" s="19" t="s">
        <v>14</v>
      </c>
      <c r="C46" s="3" t="s">
        <v>19</v>
      </c>
      <c r="D46" s="5">
        <v>0.98</v>
      </c>
      <c r="E46" s="7" t="s">
        <v>20</v>
      </c>
    </row>
    <row r="47" spans="1:5" x14ac:dyDescent="0.3">
      <c r="B47" s="19"/>
      <c r="C47" s="3" t="s">
        <v>28</v>
      </c>
      <c r="D47">
        <v>50</v>
      </c>
      <c r="E47" t="s">
        <v>3</v>
      </c>
    </row>
    <row r="48" spans="1:5" ht="15.6" x14ac:dyDescent="0.3">
      <c r="B48" s="19"/>
      <c r="C48" s="3" t="s">
        <v>26</v>
      </c>
      <c r="D48" s="12">
        <v>0.01</v>
      </c>
      <c r="E48" t="s">
        <v>8</v>
      </c>
    </row>
    <row r="49" spans="1:6" ht="16.2" x14ac:dyDescent="0.3">
      <c r="B49" s="19"/>
      <c r="C49" s="3" t="s">
        <v>9</v>
      </c>
      <c r="D49">
        <f>D48*10^3</f>
        <v>10</v>
      </c>
      <c r="E49" t="s">
        <v>24</v>
      </c>
    </row>
    <row r="52" spans="1:6" x14ac:dyDescent="0.3">
      <c r="A52" s="2" t="s">
        <v>92</v>
      </c>
    </row>
    <row r="53" spans="1:6" x14ac:dyDescent="0.3">
      <c r="C53" s="3" t="s">
        <v>28</v>
      </c>
      <c r="D53" s="3">
        <v>1000</v>
      </c>
      <c r="E53" t="s">
        <v>16</v>
      </c>
    </row>
    <row r="54" spans="1:6" x14ac:dyDescent="0.3">
      <c r="C54" s="3" t="s">
        <v>95</v>
      </c>
      <c r="D54" s="3" t="s">
        <v>97</v>
      </c>
      <c r="E54" s="17"/>
    </row>
    <row r="55" spans="1:6" x14ac:dyDescent="0.3">
      <c r="B55" s="3" t="s">
        <v>93</v>
      </c>
      <c r="C55" s="3" t="s">
        <v>41</v>
      </c>
      <c r="D55" s="3">
        <v>6.5</v>
      </c>
      <c r="E55" s="17">
        <f>D55/SUM($D$55:$D$57)*$D$53</f>
        <v>722.22222222222217</v>
      </c>
      <c r="F55" t="s">
        <v>16</v>
      </c>
    </row>
    <row r="56" spans="1:6" x14ac:dyDescent="0.3">
      <c r="B56" s="3" t="s">
        <v>94</v>
      </c>
      <c r="C56" s="3" t="s">
        <v>96</v>
      </c>
      <c r="D56" s="3">
        <v>2.4</v>
      </c>
      <c r="E56" s="17">
        <f t="shared" ref="E56" si="0">D56/SUM($D$55:$D$57)*$D$53</f>
        <v>266.66666666666669</v>
      </c>
      <c r="F56" t="s">
        <v>16</v>
      </c>
    </row>
    <row r="57" spans="1:6" x14ac:dyDescent="0.3">
      <c r="B57" s="3" t="s">
        <v>100</v>
      </c>
      <c r="C57" s="3" t="s">
        <v>99</v>
      </c>
      <c r="D57" s="3">
        <v>0.1</v>
      </c>
      <c r="E57" s="17">
        <f>D57/SUM($D$55:$D$57)*$D$53</f>
        <v>11.111111111111111</v>
      </c>
      <c r="F57" t="s">
        <v>16</v>
      </c>
    </row>
    <row r="58" spans="1:6" x14ac:dyDescent="0.3">
      <c r="D58" s="3" t="s">
        <v>98</v>
      </c>
      <c r="E58" s="17">
        <f>SUM(E55:E57)</f>
        <v>1000</v>
      </c>
      <c r="F58" t="s">
        <v>16</v>
      </c>
    </row>
    <row r="61" spans="1:6" x14ac:dyDescent="0.3">
      <c r="A61" s="2" t="s">
        <v>110</v>
      </c>
      <c r="C61" t="s">
        <v>111</v>
      </c>
      <c r="D61">
        <f>10^-3</f>
        <v>1E-3</v>
      </c>
      <c r="E61" t="s">
        <v>35</v>
      </c>
    </row>
    <row r="62" spans="1:6" x14ac:dyDescent="0.3">
      <c r="C62" t="s">
        <v>113</v>
      </c>
      <c r="D62">
        <v>10</v>
      </c>
      <c r="E62" t="s">
        <v>16</v>
      </c>
    </row>
    <row r="63" spans="1:6" ht="16.2" x14ac:dyDescent="0.3">
      <c r="B63" t="s">
        <v>117</v>
      </c>
      <c r="C63" t="s">
        <v>115</v>
      </c>
      <c r="D63" t="s">
        <v>114</v>
      </c>
      <c r="E63" t="s">
        <v>112</v>
      </c>
    </row>
    <row r="64" spans="1:6" x14ac:dyDescent="0.3">
      <c r="B64" s="18">
        <f>C64*10^5</f>
        <v>10</v>
      </c>
      <c r="C64">
        <f>10^-4</f>
        <v>1E-4</v>
      </c>
      <c r="D64" s="3">
        <f>$D$62*C64/$D$61*1000</f>
        <v>1000</v>
      </c>
      <c r="E64" s="3">
        <f>270.24*C64*1000</f>
        <v>27.024000000000004</v>
      </c>
      <c r="F64" t="s">
        <v>116</v>
      </c>
    </row>
    <row r="65" spans="2:6" x14ac:dyDescent="0.3">
      <c r="B65" s="18">
        <f t="shared" ref="B65:B69" si="1">C65*10^5</f>
        <v>5</v>
      </c>
      <c r="C65" s="1">
        <f>C64/2</f>
        <v>5.0000000000000002E-5</v>
      </c>
      <c r="D65" s="3">
        <f t="shared" ref="D65:D69" si="2">$D$62*C65/$D$61*1000</f>
        <v>500</v>
      </c>
      <c r="E65" s="3">
        <f t="shared" ref="E65:E67" si="3">270.24*C65*1000</f>
        <v>13.512000000000002</v>
      </c>
      <c r="F65" t="s">
        <v>116</v>
      </c>
    </row>
    <row r="66" spans="2:6" x14ac:dyDescent="0.3">
      <c r="B66" s="18">
        <f t="shared" si="1"/>
        <v>2</v>
      </c>
      <c r="C66">
        <f>2*10^-5</f>
        <v>2.0000000000000002E-5</v>
      </c>
      <c r="D66" s="3">
        <f t="shared" si="2"/>
        <v>200</v>
      </c>
      <c r="E66" s="3">
        <f t="shared" si="3"/>
        <v>5.4048000000000007</v>
      </c>
      <c r="F66" t="s">
        <v>116</v>
      </c>
    </row>
    <row r="67" spans="2:6" x14ac:dyDescent="0.3">
      <c r="B67" s="18">
        <f t="shared" si="1"/>
        <v>1</v>
      </c>
      <c r="C67">
        <f>1*10^-5</f>
        <v>1.0000000000000001E-5</v>
      </c>
      <c r="D67" s="3">
        <f t="shared" si="2"/>
        <v>100</v>
      </c>
      <c r="E67" s="3">
        <f t="shared" si="3"/>
        <v>2.7024000000000004</v>
      </c>
      <c r="F67" t="s">
        <v>116</v>
      </c>
    </row>
    <row r="68" spans="2:6" x14ac:dyDescent="0.3">
      <c r="B68" s="18">
        <f t="shared" si="1"/>
        <v>0.5</v>
      </c>
      <c r="C68">
        <f>C67/2</f>
        <v>5.0000000000000004E-6</v>
      </c>
      <c r="D68" s="3">
        <f t="shared" si="2"/>
        <v>50</v>
      </c>
      <c r="E68" s="3">
        <f t="shared" ref="E68:E69" si="4">270.24*C68*1000</f>
        <v>1.3512000000000002</v>
      </c>
      <c r="F68" t="s">
        <v>116</v>
      </c>
    </row>
    <row r="69" spans="2:6" x14ac:dyDescent="0.3">
      <c r="B69" s="18">
        <f t="shared" si="1"/>
        <v>0.19999999999999998</v>
      </c>
      <c r="C69">
        <f>2*10^-6</f>
        <v>1.9999999999999999E-6</v>
      </c>
      <c r="D69" s="3">
        <f t="shared" si="2"/>
        <v>19.999999999999996</v>
      </c>
      <c r="E69" s="3">
        <f t="shared" si="4"/>
        <v>0.54047999999999996</v>
      </c>
      <c r="F69" t="s">
        <v>116</v>
      </c>
    </row>
  </sheetData>
  <mergeCells count="10">
    <mergeCell ref="B36:B39"/>
    <mergeCell ref="B46:B49"/>
    <mergeCell ref="C33:C34"/>
    <mergeCell ref="C23:C24"/>
    <mergeCell ref="C4:C5"/>
    <mergeCell ref="B6:B8"/>
    <mergeCell ref="B15:B17"/>
    <mergeCell ref="B25:B28"/>
    <mergeCell ref="B12:E12"/>
    <mergeCell ref="B20:E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3A81-BFED-482E-91D0-D89B8B2107C3}">
  <dimension ref="A1:L15"/>
  <sheetViews>
    <sheetView workbookViewId="0">
      <selection activeCell="E11" sqref="E11"/>
    </sheetView>
  </sheetViews>
  <sheetFormatPr defaultRowHeight="14.4" x14ac:dyDescent="0.3"/>
  <cols>
    <col min="1" max="1" width="3.33203125" customWidth="1"/>
    <col min="2" max="2" width="38.6640625" customWidth="1"/>
    <col min="3" max="3" width="20" customWidth="1"/>
    <col min="4" max="4" width="26.88671875" customWidth="1"/>
    <col min="5" max="5" width="18.33203125" customWidth="1"/>
    <col min="6" max="6" width="18.5546875" customWidth="1"/>
    <col min="7" max="7" width="9.21875" customWidth="1"/>
    <col min="8" max="8" width="18.6640625" customWidth="1"/>
    <col min="9" max="9" width="13.5546875" customWidth="1"/>
    <col min="10" max="10" width="16.77734375" customWidth="1"/>
    <col min="11" max="11" width="11.77734375" bestFit="1" customWidth="1"/>
    <col min="12" max="12" width="14.33203125" bestFit="1" customWidth="1"/>
  </cols>
  <sheetData>
    <row r="1" spans="1:12" x14ac:dyDescent="0.3">
      <c r="B1" s="11" t="s">
        <v>40</v>
      </c>
      <c r="C1" s="11" t="s">
        <v>47</v>
      </c>
      <c r="D1" s="11" t="s">
        <v>70</v>
      </c>
      <c r="E1" s="11" t="s">
        <v>72</v>
      </c>
      <c r="F1" s="11" t="s">
        <v>73</v>
      </c>
      <c r="G1" s="11" t="s">
        <v>61</v>
      </c>
      <c r="H1" s="11" t="s">
        <v>51</v>
      </c>
      <c r="I1" s="11" t="s">
        <v>42</v>
      </c>
      <c r="J1" s="11" t="s">
        <v>43</v>
      </c>
      <c r="K1" s="11" t="s">
        <v>44</v>
      </c>
      <c r="L1" s="11" t="s">
        <v>49</v>
      </c>
    </row>
    <row r="2" spans="1:12" s="3" customFormat="1" ht="72" x14ac:dyDescent="0.3">
      <c r="A2" s="3">
        <v>1</v>
      </c>
      <c r="B2" s="14" t="s">
        <v>53</v>
      </c>
      <c r="C2" s="13" t="s">
        <v>55</v>
      </c>
      <c r="D2" s="13"/>
      <c r="E2" s="13"/>
      <c r="F2" s="13" t="s">
        <v>56</v>
      </c>
      <c r="G2" s="13"/>
      <c r="H2" s="13" t="s">
        <v>57</v>
      </c>
      <c r="I2" s="3" t="s">
        <v>54</v>
      </c>
    </row>
    <row r="3" spans="1:12" s="3" customFormat="1" ht="43.2" x14ac:dyDescent="0.3">
      <c r="A3" s="3">
        <v>2</v>
      </c>
      <c r="B3" s="14" t="s">
        <v>39</v>
      </c>
      <c r="C3" s="13" t="s">
        <v>48</v>
      </c>
      <c r="D3" s="13"/>
      <c r="E3" s="13"/>
      <c r="F3" s="3" t="s">
        <v>41</v>
      </c>
      <c r="H3" s="3" t="s">
        <v>52</v>
      </c>
      <c r="I3" s="3">
        <v>428.5</v>
      </c>
      <c r="J3" s="3" t="s">
        <v>45</v>
      </c>
      <c r="K3" s="3" t="s">
        <v>46</v>
      </c>
      <c r="L3" s="3" t="s">
        <v>50</v>
      </c>
    </row>
    <row r="4" spans="1:12" s="3" customFormat="1" ht="57.6" x14ac:dyDescent="0.3">
      <c r="A4" s="6">
        <v>3</v>
      </c>
      <c r="B4" s="22" t="s">
        <v>64</v>
      </c>
      <c r="C4" s="23" t="s">
        <v>80</v>
      </c>
      <c r="D4" s="23" t="s">
        <v>122</v>
      </c>
      <c r="E4" s="23"/>
      <c r="F4" s="6" t="s">
        <v>58</v>
      </c>
      <c r="G4" s="6" t="s">
        <v>62</v>
      </c>
      <c r="H4" s="23" t="s">
        <v>63</v>
      </c>
      <c r="I4" s="23" t="s">
        <v>60</v>
      </c>
      <c r="J4" s="23" t="s">
        <v>123</v>
      </c>
      <c r="K4" s="6"/>
      <c r="L4" s="6" t="s">
        <v>59</v>
      </c>
    </row>
    <row r="5" spans="1:12" s="3" customFormat="1" ht="43.2" x14ac:dyDescent="0.3">
      <c r="A5" s="3">
        <v>4</v>
      </c>
      <c r="B5" s="14" t="s">
        <v>129</v>
      </c>
      <c r="C5" s="13" t="s">
        <v>69</v>
      </c>
      <c r="D5" s="13" t="s">
        <v>71</v>
      </c>
      <c r="E5" s="13" t="s">
        <v>41</v>
      </c>
      <c r="F5" s="13" t="s">
        <v>65</v>
      </c>
      <c r="G5" s="3" t="s">
        <v>74</v>
      </c>
      <c r="I5" s="13" t="s">
        <v>128</v>
      </c>
      <c r="J5" s="3" t="s">
        <v>66</v>
      </c>
      <c r="K5" s="3" t="s">
        <v>67</v>
      </c>
      <c r="L5" s="3" t="s">
        <v>68</v>
      </c>
    </row>
    <row r="6" spans="1:12" s="3" customFormat="1" ht="43.2" x14ac:dyDescent="0.3">
      <c r="A6" s="3">
        <v>5</v>
      </c>
      <c r="B6" s="25" t="s">
        <v>79</v>
      </c>
      <c r="F6" s="13" t="s">
        <v>75</v>
      </c>
      <c r="I6" s="3" t="s">
        <v>76</v>
      </c>
      <c r="J6" s="3" t="s">
        <v>78</v>
      </c>
      <c r="K6" s="3" t="s">
        <v>77</v>
      </c>
    </row>
    <row r="7" spans="1:12" s="3" customFormat="1" ht="72" x14ac:dyDescent="0.3">
      <c r="A7" s="3">
        <v>6</v>
      </c>
      <c r="B7" s="14" t="s">
        <v>81</v>
      </c>
      <c r="C7" s="3" t="s">
        <v>82</v>
      </c>
      <c r="F7" s="13" t="s">
        <v>85</v>
      </c>
      <c r="H7" s="13" t="s">
        <v>84</v>
      </c>
      <c r="I7" s="13" t="s">
        <v>86</v>
      </c>
      <c r="J7" s="3" t="s">
        <v>83</v>
      </c>
    </row>
    <row r="8" spans="1:12" s="3" customFormat="1" ht="57.6" x14ac:dyDescent="0.3">
      <c r="A8" s="3">
        <v>7</v>
      </c>
      <c r="B8" s="14" t="s">
        <v>124</v>
      </c>
      <c r="D8" s="3" t="s">
        <v>127</v>
      </c>
      <c r="E8" s="24" t="s">
        <v>125</v>
      </c>
      <c r="F8" s="13" t="s">
        <v>126</v>
      </c>
      <c r="I8" s="13"/>
    </row>
    <row r="9" spans="1:12" s="3" customFormat="1" ht="43.8" customHeight="1" x14ac:dyDescent="0.3">
      <c r="A9" s="3">
        <v>8</v>
      </c>
      <c r="B9" s="14" t="s">
        <v>130</v>
      </c>
      <c r="E9" s="27" t="s">
        <v>131</v>
      </c>
      <c r="F9" s="27"/>
      <c r="G9" s="27"/>
      <c r="H9" s="27"/>
    </row>
    <row r="10" spans="1:12" s="3" customFormat="1" ht="28.8" x14ac:dyDescent="0.3">
      <c r="A10" s="3">
        <v>9</v>
      </c>
      <c r="B10" s="14" t="s">
        <v>132</v>
      </c>
      <c r="E10" s="26" t="s">
        <v>133</v>
      </c>
      <c r="F10" s="26"/>
      <c r="G10" s="26"/>
      <c r="H10" s="26"/>
    </row>
    <row r="11" spans="1:12" s="3" customFormat="1" x14ac:dyDescent="0.3"/>
    <row r="12" spans="1:12" s="3" customFormat="1" x14ac:dyDescent="0.3"/>
    <row r="13" spans="1:12" s="3" customFormat="1" x14ac:dyDescent="0.3"/>
    <row r="14" spans="1:12" s="3" customFormat="1" x14ac:dyDescent="0.3"/>
    <row r="15" spans="1:12" s="3" customFormat="1" x14ac:dyDescent="0.3"/>
  </sheetData>
  <mergeCells count="2">
    <mergeCell ref="E9:H9"/>
    <mergeCell ref="E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1598-3EDA-4C47-84FC-EF27348BB089}">
  <dimension ref="B1:C7"/>
  <sheetViews>
    <sheetView workbookViewId="0">
      <selection activeCell="B8" sqref="B8"/>
    </sheetView>
  </sheetViews>
  <sheetFormatPr defaultRowHeight="14.4" x14ac:dyDescent="0.3"/>
  <cols>
    <col min="2" max="2" width="39.88671875" customWidth="1"/>
    <col min="3" max="3" width="74.44140625" customWidth="1"/>
  </cols>
  <sheetData>
    <row r="1" spans="2:3" x14ac:dyDescent="0.3">
      <c r="B1" s="11" t="s">
        <v>40</v>
      </c>
      <c r="C1" s="11" t="s">
        <v>90</v>
      </c>
    </row>
    <row r="2" spans="2:3" ht="125.4" customHeight="1" x14ac:dyDescent="0.3">
      <c r="B2" s="14" t="s">
        <v>87</v>
      </c>
    </row>
    <row r="3" spans="2:3" ht="57.6" x14ac:dyDescent="0.3">
      <c r="B3" s="15" t="s">
        <v>88</v>
      </c>
    </row>
    <row r="4" spans="2:3" x14ac:dyDescent="0.3">
      <c r="B4" s="16"/>
    </row>
    <row r="5" spans="2:3" ht="86.4" x14ac:dyDescent="0.3">
      <c r="B5" s="14" t="s">
        <v>89</v>
      </c>
      <c r="C5" s="14" t="s">
        <v>91</v>
      </c>
    </row>
    <row r="7" spans="2:3" x14ac:dyDescent="0.3">
      <c r="B7" t="s">
        <v>135</v>
      </c>
      <c r="C7" t="s">
        <v>134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1AAE-8501-42C9-B7C8-DFB0320C5C38}">
  <dimension ref="B2:E12"/>
  <sheetViews>
    <sheetView topLeftCell="B1" workbookViewId="0">
      <selection activeCell="E19" sqref="E19"/>
    </sheetView>
  </sheetViews>
  <sheetFormatPr defaultRowHeight="14.4" x14ac:dyDescent="0.3"/>
  <cols>
    <col min="3" max="3" width="8.88671875" style="3"/>
    <col min="4" max="4" width="14" style="3" customWidth="1"/>
    <col min="5" max="5" width="67" customWidth="1"/>
  </cols>
  <sheetData>
    <row r="2" spans="2:5" x14ac:dyDescent="0.3">
      <c r="B2" s="3"/>
    </row>
    <row r="3" spans="2:5" ht="57.6" x14ac:dyDescent="0.3">
      <c r="C3" s="3">
        <v>1</v>
      </c>
      <c r="D3" s="3" t="s">
        <v>105</v>
      </c>
      <c r="E3" s="15" t="s">
        <v>101</v>
      </c>
    </row>
    <row r="4" spans="2:5" x14ac:dyDescent="0.3">
      <c r="E4" t="s">
        <v>102</v>
      </c>
    </row>
    <row r="5" spans="2:5" x14ac:dyDescent="0.3">
      <c r="E5" t="s">
        <v>103</v>
      </c>
    </row>
    <row r="6" spans="2:5" x14ac:dyDescent="0.3">
      <c r="E6" t="s">
        <v>104</v>
      </c>
    </row>
    <row r="7" spans="2:5" x14ac:dyDescent="0.3">
      <c r="C7" s="3">
        <v>2</v>
      </c>
      <c r="D7" s="3" t="s">
        <v>106</v>
      </c>
      <c r="E7" t="s">
        <v>107</v>
      </c>
    </row>
    <row r="8" spans="2:5" x14ac:dyDescent="0.3">
      <c r="E8" t="s">
        <v>108</v>
      </c>
    </row>
    <row r="9" spans="2:5" x14ac:dyDescent="0.3">
      <c r="E9" t="s">
        <v>109</v>
      </c>
    </row>
    <row r="10" spans="2:5" ht="72" x14ac:dyDescent="0.3">
      <c r="E10" s="15" t="s">
        <v>118</v>
      </c>
    </row>
    <row r="12" spans="2:5" x14ac:dyDescent="0.3">
      <c r="C12" s="3" t="s">
        <v>119</v>
      </c>
      <c r="D12" s="3" t="s">
        <v>120</v>
      </c>
      <c r="E1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ABD1-53C5-415C-B799-85256738897B}">
  <dimension ref="E5:H16"/>
  <sheetViews>
    <sheetView tabSelected="1" workbookViewId="0">
      <selection activeCell="E5" sqref="E5"/>
    </sheetView>
  </sheetViews>
  <sheetFormatPr defaultRowHeight="14.4" x14ac:dyDescent="0.3"/>
  <cols>
    <col min="5" max="5" width="8.88671875" style="3"/>
    <col min="6" max="6" width="13.6640625" customWidth="1"/>
    <col min="7" max="7" width="13.88671875" customWidth="1"/>
    <col min="8" max="8" width="8.88671875" style="3"/>
  </cols>
  <sheetData>
    <row r="5" spans="5:8" x14ac:dyDescent="0.3">
      <c r="E5"/>
      <c r="H5"/>
    </row>
    <row r="6" spans="5:8" x14ac:dyDescent="0.3">
      <c r="E6"/>
      <c r="H6"/>
    </row>
    <row r="7" spans="5:8" x14ac:dyDescent="0.3">
      <c r="E7"/>
      <c r="H7"/>
    </row>
    <row r="8" spans="5:8" x14ac:dyDescent="0.3">
      <c r="E8"/>
      <c r="H8"/>
    </row>
    <row r="9" spans="5:8" x14ac:dyDescent="0.3">
      <c r="E9"/>
      <c r="H9"/>
    </row>
    <row r="10" spans="5:8" x14ac:dyDescent="0.3">
      <c r="E10"/>
      <c r="H10"/>
    </row>
    <row r="11" spans="5:8" x14ac:dyDescent="0.3">
      <c r="E11"/>
      <c r="H11"/>
    </row>
    <row r="12" spans="5:8" x14ac:dyDescent="0.3">
      <c r="E12"/>
      <c r="H12"/>
    </row>
    <row r="13" spans="5:8" x14ac:dyDescent="0.3">
      <c r="E13"/>
      <c r="H13"/>
    </row>
    <row r="14" spans="5:8" x14ac:dyDescent="0.3">
      <c r="E14"/>
      <c r="H14"/>
    </row>
    <row r="15" spans="5:8" x14ac:dyDescent="0.3">
      <c r="E15"/>
      <c r="H15"/>
    </row>
    <row r="16" spans="5:8" x14ac:dyDescent="0.3">
      <c r="E16"/>
      <c r="H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Tính toán (2)</vt:lpstr>
      <vt:lpstr>Thông tin rút gọn</vt:lpstr>
      <vt:lpstr>Tạo phức</vt:lpstr>
      <vt:lpstr>Outline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Hoang-Nhat</dc:creator>
  <cp:lastModifiedBy>Hoàng Nhật Lê</cp:lastModifiedBy>
  <dcterms:created xsi:type="dcterms:W3CDTF">2015-06-05T18:17:20Z</dcterms:created>
  <dcterms:modified xsi:type="dcterms:W3CDTF">2025-10-14T08:55:59Z</dcterms:modified>
</cp:coreProperties>
</file>