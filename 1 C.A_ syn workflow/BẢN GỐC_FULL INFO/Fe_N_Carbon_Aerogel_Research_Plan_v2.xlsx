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1 Thạc sĩ Hóa Phân Tích\ĐỀ TÀI_LVTN\0 MỚI đang làm lại\claude\"/>
    </mc:Choice>
  </mc:AlternateContent>
  <xr:revisionPtr revIDLastSave="0" documentId="13_ncr:1_{93BC85BA-D90E-457A-ADB6-F756704DBD3F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1. Tổng Quan Dự Án" sheetId="1" r:id="rId1"/>
    <sheet name="2. Quy Trình Tổng Hợp" sheetId="2" r:id="rId2"/>
    <sheet name="3. Bố Trí Thí Nghiệm" sheetId="3" r:id="rId3"/>
    <sheet name="4. Hướng NC &amp; Công Bố" sheetId="4" r:id="rId4"/>
    <sheet name="5. Đặc Trưng &amp; Chỉ Tiêu" sheetId="5" r:id="rId5"/>
    <sheet name="6. Vật Tư &amp; Chi Phí" sheetId="6" r:id="rId6"/>
    <sheet name="7. Lời Khuyên &amp; Cảnh Báo" sheetId="7" r:id="rId7"/>
    <sheet name="8. Tài Liệu Tham Khảo" sheetId="8" r:id="rId8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8" i="6" l="1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</calcChain>
</file>

<file path=xl/sharedStrings.xml><?xml version="1.0" encoding="utf-8"?>
<sst xmlns="http://schemas.openxmlformats.org/spreadsheetml/2006/main" count="1056" uniqueCount="835">
  <si>
    <t>TỔNG QUAN NGHIÊN CỨU: CARBON AEROGEL TỪ XƠ DỪA – ĐIỆN CỰC CẢM BIẾN ĐIỆN HÓA</t>
  </si>
  <si>
    <t>🎯  MỤC TIÊU NGHIÊN CỨU</t>
  </si>
  <si>
    <t>Nguyên liệu</t>
  </si>
  <si>
    <t>Tổng hợp carbon aerogel từ biomass xơ dừa (nguồn rẻ, bền vững, sẵn có tại VN)</t>
  </si>
  <si>
    <t>Doping</t>
  </si>
  <si>
    <t>Doping Fe, N vào mạng lưới carbon để tăng hoạt tính điện hóa và độ nhạy cảm biến</t>
  </si>
  <si>
    <t>Điện cực</t>
  </si>
  <si>
    <t>Chế tạo màng điện cực biến tính (modified electrode) hiệu quả, tái lập</t>
  </si>
  <si>
    <t>Ứng dụng</t>
  </si>
  <si>
    <t>Phát hiện đồng thời/riêng lẻ ion kim loại nặng &amp; dopamine ở nồng độ vết (ppb–nM)</t>
  </si>
  <si>
    <t>Công bố</t>
  </si>
  <si>
    <t>Mục tiêu bài báo Q1/Q2 (ACS, Elsevier, RSC) – IF ≥ 5</t>
  </si>
  <si>
    <t>⚠️  PHẠM VI &amp; GIỚI HẠN NGHIÊN CỨU</t>
  </si>
  <si>
    <t>Công nghệ sấy</t>
  </si>
  <si>
    <t>Sấy thường (ambient drying) có hỗ trợ hóa chất (TMCS/hexane hoặc ethanol);
KHÔNG dùng freeze-drying hay supercritical CO₂ → tiết kiệm chi phí</t>
  </si>
  <si>
    <t>Nguyên tố doping</t>
  </si>
  <si>
    <t>Ưu tiên Fe + N; cân nhắc thêm S hoặc P nếu cần tăng tính mới;
Tránh kim loại hiếm đắt tiền (Pt, Pd, Au)</t>
  </si>
  <si>
    <t>Chất phân tích</t>
  </si>
  <si>
    <t>Ion kim loại: Pb²⁺, Cd²⁺, Cu²⁺ (DPV/ASV);
Dopamine (DA) (DPV, pH 7.4 PBS);
Có thể thêm ascorbic acid (AA), uric acid (UA) để chứng minh tính chọn lọc</t>
  </si>
  <si>
    <t>Phương pháp tạo màng</t>
  </si>
  <si>
    <t>Drop-casting hoặc Nafion-binding trên GCE (glassy carbon electrode 3mm);
Tránh electrodeposition nếu không có thiết bị phù hợp</t>
  </si>
  <si>
    <t>Không nằm trong phạm vi</t>
  </si>
  <si>
    <t>Không tổng hợp aerogel siêu tới hạn; không thử nghiệm lâm sàng;
Không dùng nguyên liệu ngoài biomass xơ dừa</t>
  </si>
  <si>
    <t>✨  ĐIỂM MỚI – NOVELTY (Quan trọng để đạt Q1/Q2)</t>
  </si>
  <si>
    <t>1</t>
  </si>
  <si>
    <t>Sử dụng xơ dừa (coir fiber) – nguồn biomass bản địa VN – ít được nghiên cứu hơn rơm rạ, vỏ trấu</t>
  </si>
  <si>
    <t>2</t>
  </si>
  <si>
    <t>Ambient drying kết hợp surface modification (TMCS) → giảm collapse; chi phí thấp hơn freeze-drying 10×</t>
  </si>
  <si>
    <t>3</t>
  </si>
  <si>
    <t>Đồng doping Fe-N tạo vị trí hoạt động kép: Fe²⁺/Fe³⁺ redox + N-pyridinic tăng dẫn điện</t>
  </si>
  <si>
    <t>4</t>
  </si>
  <si>
    <t>Phát hiện đồng thời Pb²⁺ + dopamine trên cùng 1 điện cực → ít bài đã công bố</t>
  </si>
  <si>
    <t>5</t>
  </si>
  <si>
    <t>Xác nhận cơ chế bằng DFT (density functional theory) hoặc in-situ Raman → nâng hạng bài báo</t>
  </si>
  <si>
    <t>QUY TRÌNH TỔNG HỢP FE-N-CARBON AEROGEL TỪ XƠ DỪA + CHẾ TẠO ĐIỆN CỰC (ĐÃ HIỆU CHỈNH v2)</t>
  </si>
  <si>
    <t>Giai đoạn</t>
  </si>
  <si>
    <t>Bước</t>
  </si>
  <si>
    <t>Mô tả</t>
  </si>
  <si>
    <t>Hóa chất / Vật liệu</t>
  </si>
  <si>
    <t>Hàm lượng / Nồng độ</t>
  </si>
  <si>
    <t>Thiết bị</t>
  </si>
  <si>
    <t>Thông số thiết bị</t>
  </si>
  <si>
    <t>Thời gian</t>
  </si>
  <si>
    <t>Lưu ý / Cảnh báo</t>
  </si>
  <si>
    <t>Kết quả kỳ vọng</t>
  </si>
  <si>
    <t>GĐ1
Tiền xử lý
xơ dừa</t>
  </si>
  <si>
    <t>1.1</t>
  </si>
  <si>
    <t>Rửa sạch, loại lignin, tạp chất</t>
  </si>
  <si>
    <t>NaOH, H₂O cất</t>
  </si>
  <si>
    <t>NaOH 2% (w/v); tỉ lệ rắn:lỏng = 1:20 (g:mL)</t>
  </si>
  <si>
    <t>Bình cầu 500mL, bếp từ gia nhiệt</t>
  </si>
  <si>
    <t>80°C, 2h, khuấy 300 rpm</t>
  </si>
  <si>
    <t>2h</t>
  </si>
  <si>
    <t>⚠ NaOH &gt;5% → phá hủy cellulose. Rửa đến pH trung tính bằng DI water</t>
  </si>
  <si>
    <t>Xơ dừa sạch, trắng hơn, loại hemi-cellulose &amp; lignin</t>
  </si>
  <si>
    <t>1.2</t>
  </si>
  <si>
    <t>TẨY TRẮNG bằng H₂O₂ – Loại lignin còn lại &amp; nhóm màu</t>
  </si>
  <si>
    <t>H₂O₂ 30%, NaOH</t>
  </si>
  <si>
    <t>H₂O₂ 3–5% (v/v) trong NaOH 1%; tỉ lệ 1:20</t>
  </si>
  <si>
    <t>Bình thủy tinh, bếp từ</t>
  </si>
  <si>
    <t>60°C, 2–4h, khuấy nhẹ 100 rpm</t>
  </si>
  <si>
    <t>2–4h</t>
  </si>
  <si>
    <t>⚠ H₂O₂ là chất oxy hóa mạnh – KHÔNG đậy kín bình (áp suất). Tránh tiếp xúc da/mắt.
⚠ pH phải &gt;10 để H₂O₂ hoạt động hiệu quả (kiềm kích hoạt H₂O₂).
✅ Sau bước này: rửa kỹ đến pH 7; sấy 60°C/12h</t>
  </si>
  <si>
    <t>Xơ dừa TRẮNG RÕ, giảm lignin &gt;70%, tăng độ tinh khiết cellulose</t>
  </si>
  <si>
    <t>1.3</t>
  </si>
  <si>
    <t>Sấy khô sơ bộ</t>
  </si>
  <si>
    <t>—</t>
  </si>
  <si>
    <t>Tủ sấy</t>
  </si>
  <si>
    <t>60°C, 12h</t>
  </si>
  <si>
    <t>12h</t>
  </si>
  <si>
    <t>Độ ẩm phải &lt;5% trước bước hòa tan. Dùng cân phân tích kiểm tra khối lượng trước/sau</t>
  </si>
  <si>
    <t>Xơ dừa khô, giòn</t>
  </si>
  <si>
    <t>1.4</t>
  </si>
  <si>
    <t>Nghiền mịn</t>
  </si>
  <si>
    <t>Máy xay hoặc ball mill</t>
  </si>
  <si>
    <t>Tốc độ cao 30 min → rây ≤200 mesh</t>
  </si>
  <si>
    <t>1–2h</t>
  </si>
  <si>
    <t>Kích thước đồng đều → gel đồng nhất hơn. Lưu mẫu trong túi zip kín</t>
  </si>
  <si>
    <t>Bột xơ dừa mịn, trắng, kích thước ≤75µm</t>
  </si>
  <si>
    <t>GĐ2
Tổng hợp
hydrogel</t>
  </si>
  <si>
    <t>2.1</t>
  </si>
  <si>
    <t>Hòa tan cellulose trong hệ NaOH/Urea</t>
  </si>
  <si>
    <t>NaOH, Urea, H₂O cất</t>
  </si>
  <si>
    <t>NaOH 7% / Urea 12% / H₂O (w/w); cellulose 2–4 wt%
Ví dụ: 100g dd = 7g NaOH + 12g Urea + 81g H₂O + 2–4g cellulose bột</t>
  </si>
  <si>
    <t>Tủ đông (−12°C), máy khuấy</t>
  </si>
  <si>
    <t>Đông −12°C/12h → rã đông RT → khuấy mạnh 1000rpm/1h
Lặp 2–3 chu kỳ cho đến trong suốt</t>
  </si>
  <si>
    <t>12–24h</t>
  </si>
  <si>
    <t>⚠ Nồng độ cellulose &gt;5% → khó hòa tan → tăng chu kỳ đông-rã
⚠ Không khuấy khi còn đông → tan không đều</t>
  </si>
  <si>
    <t>Dung dịch cellulose trong suốt, nhớt, không cặn</t>
  </si>
  <si>
    <t>2.2</t>
  </si>
  <si>
    <t>Thêm Fe-doping (FeCl₃)</t>
  </si>
  <si>
    <t>FeCl₃·6H₂O</t>
  </si>
  <si>
    <t>0.5 / 1.0 / 1.5 / 2.0 wt% so với cellulose (4 mức khảo sát)
Ví dụ: 4g cellulose → thêm 0.02 / 0.04 / 0.06 / 0.08g FeCl₃·6H₂O</t>
  </si>
  <si>
    <t>Máy khuấy từ</t>
  </si>
  <si>
    <t>RT, nhỏ giọt từ từ (dropwise), khuấy 500 rpm, 30 min</t>
  </si>
  <si>
    <t>0.5h</t>
  </si>
  <si>
    <t>⚠ Fe³⁺ thủy phân ở pH cao → nhỏ giọt, khuấy liên tục. Màu vàng nhạt là bình thường.
✅ Không thấy kết tủa nâu = dấu hiệu tốt</t>
  </si>
  <si>
    <t>Dung dịch cellulose-Fe đồng nhất, màu vàng nhạt</t>
  </si>
  <si>
    <t>2.3</t>
  </si>
  <si>
    <t>Thêm N-doping (Melamine)</t>
  </si>
  <si>
    <t>Melamine (nghiền mịn trước)</t>
  </si>
  <si>
    <t>0.5–2.0 wt% so với cellulose
Ưu tiên: Melamine 1 wt% (thực nghiệm ban đầu)</t>
  </si>
  <si>
    <t>Máy khuấy từ, cối nghiền</t>
  </si>
  <si>
    <t>RT, phân tán từng chút, khuấy 30 min</t>
  </si>
  <si>
    <t>Melamine ít tan trong nước → nghiền mịn trước; phân tán từ từ để tránh vón cục
✅ Urea trong dung môi ban đầu đã cung cấp một phần N → Melamine = nguồn N bổ sung</t>
  </si>
  <si>
    <t>Hỗn hợp đồng nhất, không cặn</t>
  </si>
  <si>
    <t>2.4</t>
  </si>
  <si>
    <t>Gel hóa (Crosslinking bằng Citric acid – GREEN)</t>
  </si>
  <si>
    <t>Citric acid monohydrate</t>
  </si>
  <si>
    <t>10 wt% so với cellulose
Ví dụ: 4g cellulose → 0.4g citric acid hòa tan trong 2mL DI water, thêm vào gel</t>
  </si>
  <si>
    <t>Bếp từ, khuôn silicon/PTFE</t>
  </si>
  <si>
    <t>50°C, 4–6h, không khuấy sau khi đổ khuôn</t>
  </si>
  <si>
    <t>4–6h</t>
  </si>
  <si>
    <t>✅ ƯU TIÊN Citric acid thay ECH vì: thân thiện môi trường (green chemistry), dễ publish Q1 hơn
⚠ ECH: nếu dùng, phải trong tủ hút – độc hại, cần xử lý chất thải
⚠ Không mở nắp trong 4h đầu → gel đồng đều</t>
  </si>
  <si>
    <t>Hydrogel cứng, đàn hồi, không chảy khi lật ngược</t>
  </si>
  <si>
    <t>GĐ3
Solvent
Exchange
(KHÔNG TMCS)</t>
  </si>
  <si>
    <t>3.1</t>
  </si>
  <si>
    <t>Trao đổi dung môi: H₂O → Ethanol</t>
  </si>
  <si>
    <t>Ethanol tuyệt đối 99.8%</t>
  </si>
  <si>
    <t>Ngâm gel trong EtOH 100%, thay 3 lần, mỗi lần 100mL/g gel</t>
  </si>
  <si>
    <t>Bình thủy tinh có nắp</t>
  </si>
  <si>
    <t>RT, mỗi lần 2h</t>
  </si>
  <si>
    <t>3×2h = 6h</t>
  </si>
  <si>
    <t>Thay dần (50% EtOH → 70% → 100%) nếu gel dễ vỡ
Bước này loại hoàn toàn H₂O → alcogel</t>
  </si>
  <si>
    <t>Alcogel (gel EtOH), trong suốt hơn</t>
  </si>
  <si>
    <t>⚠️ GIẢI THÍCH
VÀ QUYẾT ĐỊNH
VỀ TMCS</t>
  </si>
  <si>
    <t>TẠI SAO SHEET CŨ CÓ TMCS? VÀ CÓ NÊN DÙNG KHÔNG?</t>
  </si>
  <si>
    <t>TMCS được dùng trong quy trình AMBIENT DRYING để ngăn aerogel bị collapse:
Cơ chế: TMCS gắn nhóm −Si(CH₃)₃ lên bề mặt gel → bề mặt kỵ nước → giảm lực căng bề mặt khi bay hơi dung môi → cấu trúc xốp được bảo toàn
NHƯNG: Đối với SENSOR ION KIM LOẠI:
• Ion kim loại (Pb²⁺, Cd²⁺) là cation PHÂN CỰC, cần bề mặt ƯA NƯỚC để tiếp cận electrode
• Sau carbonization 800°C: Nhóm −Si(CH₃)₃ BỊ PHÂN HỦY HOÀN TOÀN (≥400°C) → tính kỵ nước do TMCS BIẾN MẤT
→ Carbon aerogel sau nung: bề mặt carbon KHÔNG còn TMCS, chỉ còn N, Fe, và defects
KẾT LUẬN: TMCS an toàn để dùng trong ambient drying NẾU sau đó có carbonization ≥700°C
Tuy nhiên: nếu LO NGẠI hoặc không có điều kiện an toàn → THAY THẾ bằng:
• Phương án A: Ethanol supercritical (nếu có thiết bị)
• Phương án B: t-Butanol freeze substitution (dùng t-BuOH thay H₂O, sấy đông)
• Phương án C (KHUYẾN NGHỊ ĐƠN GIẢN): Sấy thường KHÔNG TMCS + chấp nhận S_BET thấp hơn ~20%</t>
  </si>
  <si>
    <t>QUYẾT ĐỊNH CHO DỰ ÁN NÀY:
→ KHÔNG dùng TMCS (đơn giản hóa, an toàn, phù hợp sensor ion KL)
→ Dùng Ethanol solvent exchange + sấy thường trực tiếp
→ Bù lại bằng: tối ưu nhiệt độ carbonization (800°C) + KOH activation (tùy chọn)</t>
  </si>
  <si>
    <t>GĐ4
Sấy thường
(Không TMCS)</t>
  </si>
  <si>
    <t>4.1</t>
  </si>
  <si>
    <t>Sấy ambient – Nâng nhiệt từ từ</t>
  </si>
  <si>
    <t>Tủ sấy thường (đối lưu không khí)</t>
  </si>
  <si>
    <t>Nâng dần: 40°C/4h → 60°C/8h → 80°C/8h → 120°C/4h
TỔNG: ~24h; ramp 10°C mỗi 1–2h</t>
  </si>
  <si>
    <t>24h</t>
  </si>
  <si>
    <t>⚠ KHÔNG nâng nhiệt đột ngột → nứt vỡ cấu trúc (yếu tố kỹ thuật THEN CHỐT)
⚠ Aerogel nên được đặt trên lưới (không tiếp xúc đáy) để bay hơi đều
✅ Sau sấy: KHÔNG cần rửa TMCS hay hexane → đơn giản hơn nhiều</t>
  </si>
  <si>
    <t>Aerogel xơ dừa khô, nhẹ, màu trắng/vàng nhạt
BET ước tính: 200–400 m²/g (thấp hơn TMCS ~20%)</t>
  </si>
  <si>
    <t>GĐ5
Carbonization</t>
  </si>
  <si>
    <t>5.1</t>
  </si>
  <si>
    <t>Nung carbon hóa trong N₂</t>
  </si>
  <si>
    <t>Khí N₂ bảo vệ (99.999%)</t>
  </si>
  <si>
    <t>Flow rate N₂: 100–200 mL/min trong suốt quá trình nung</t>
  </si>
  <si>
    <t>Lò nung ống (tube furnace)
Thuyền Al₂O₃ hoặc graphite</t>
  </si>
  <si>
    <t>Ramp: 5°C/min đến 800°C (thử 3 mức: 700/800/900°C)
Giữ ở nhiệt độ đích: 2h
Làm nguội tự nhiên trong N₂ đến &lt;50°C</t>
  </si>
  <si>
    <t>~5h ramp + 2h giữ
= 7–8h tổng</t>
  </si>
  <si>
    <t>⚠ KHÔNG để lọt O₂ → mẫu bị cháy. Kiểm tra kín khí TRƯỚC khi bật lò
⚠ Khi mở lò: nhiệt độ phải &lt;80°C (tránh carbon aerogel tiếp xúc O₂ khi còn nóng)
✅ Cân mẫu trước và sau → tính % yield (thường 20–40%)</t>
  </si>
  <si>
    <t>Carbon aerogel đen, nhẹ hơn (~25% khối lượng ban đầu)
BET: 400–800 m²/g
Dẫn điện: 1–10 S/cm</t>
  </si>
  <si>
    <t>5.2</t>
  </si>
  <si>
    <t>Kích hoạt bằng KOH (TÙY CHỌN – nâng BET)</t>
  </si>
  <si>
    <t>KOH (pellet)</t>
  </si>
  <si>
    <t>KOH:C = 2:1 (w/w) – trộn khô với carbon aerogel đã nghiền
Ví dụ: 0.2g CA + 0.4g KOH</t>
  </si>
  <si>
    <t>Lò nung ống, thuyền Ni hoặc Al₂O₃ chịu kiềm</t>
  </si>
  <si>
    <t>N₂ 200 mL/min; 800°C; 1h
(Chạy SAU bước 5.1 trên cùng thiết bị)</t>
  </si>
  <si>
    <t>1h thêm</t>
  </si>
  <si>
    <t>⚠ KOH ăn mòn cực mạnh → dùng thuyền Ni (không Al thông thường)
⚠ Rửa sản phẩm bằng HCl 1M → DI water đến pH 7 → sấy 120°C/2h
⚠ KHÔNG dùng KOH quá 4:1 → phá cấu trúc carbon</t>
  </si>
  <si>
    <t>BET tăng lên 800–1500 m²/g
Tạo micropore thêm → tăng sensitivity ion KL</t>
  </si>
  <si>
    <t>GĐ6
Chế tạo
Màng Điện Cực
(GCE)</t>
  </si>
  <si>
    <t>6.1</t>
  </si>
  <si>
    <t>Chuẩn bị và làm sạch GCE (Glassy Carbon Electrode, ∅3mm)</t>
  </si>
  <si>
    <t>Al₂O₃ polishing powder (1µm, 0.3µm, 0.05µm)
EtOH, DI water</t>
  </si>
  <si>
    <t>Đánh bóng theo thứ tự kích thước: 1µm → 0.3µm → 0.05µm
Rửa siêu âm: EtOH 5min + DI water 5min</t>
  </si>
  <si>
    <t>Máy đánh bóng (polishing cloth)
Bể siêu âm
Potentiostat</t>
  </si>
  <si>
    <t>Đánh bóng: 3–5 min/mỗi kích thước
CV scan trong H₂SO₄ 0.5M: −0.2V đến 1.0V, 50mV/s, 20 cycles (làm sạch điện hóa)</t>
  </si>
  <si>
    <t>~30 min</t>
  </si>
  <si>
    <t>⚠ GCE không bóng gương → tín hiệu nền cao, RSD lớn
⚠ KHÔNG dùng giấy nhám hay vải thô → trầy bề mặt
✅ Tiêu chí kiểm tra: CV của K₃[Fe(CN)₆] 5mM trong KCl 0.1M phải cho 2 peak đối xứng,
   ΔEp ≤ 80mV → GCE sạch</t>
  </si>
  <si>
    <t>GCE sạch, bóng gương, nền điện hóa ổn định</t>
  </si>
  <si>
    <t>6.2</t>
  </si>
  <si>
    <t>Pha huyền phù vật liệu (CA ink)</t>
  </si>
  <si>
    <t>Fe-N-CA bột, DMF (N,N-Dimethylformamide)
hoặc DI water/EtOH (1:1)</t>
  </si>
  <si>
    <t>CA bột: 1 mg/mL trong DMF
Hoặc: 2 mg/mL trong H₂O:EtOH = 1:1
⚠ DMF tốt hơn cho phân tán nhưng độc hơn</t>
  </si>
  <si>
    <t>Bể siêu âm</t>
  </si>
  <si>
    <t>Siêu âm 30 min để phân tán đều
Không để quá 2h (nanoparticle bị settle)</t>
  </si>
  <si>
    <t>30 min</t>
  </si>
  <si>
    <t>⚠ Pha fresh trước mỗi lần dùng. Không dùng lại huyền phù &gt;24h
✅ Kiểm tra bằng mắt: không thấy cặn lắng = phân tán tốt</t>
  </si>
  <si>
    <t>Huyền phù CA đồng nhất, màu đen</t>
  </si>
  <si>
    <t>6.3</t>
  </si>
  <si>
    <t>Nhỏ giọt (Drop-casting) lên GCE</t>
  </si>
  <si>
    <t>Huyền phù CA (1 mg/mL)
Nafion solution 0.5% (w/v) trong EtOH</t>
  </si>
  <si>
    <t>Thể tích CA ink: 5µL (= ~5µg/cm²)
Thể tích Nafion: 2µL (lớp bảo vệ bên trên)
KHẢO SÁT: 2, 5, 10µL CA ink để tìm tối ưu</t>
  </si>
  <si>
    <t>Micropipette (10µL)
Đèn hồng ngoại hoặc sấy nhẹ 40°C</t>
  </si>
  <si>
    <t>Nhỏ CA ink → sấy 40°C/15min
Nhỏ Nafion → sấy RT/30min</t>
  </si>
  <si>
    <t>45 min</t>
  </si>
  <si>
    <t>⚠ KHÔNG nhỏ cùng lúc CA + Nafion → Nafion kẹp giữa → block ion tiếp cận electrode
⚠ Sấy quá nóng (&gt;50°C) → Nafion mất cấu trúc
✅ Nhỏ từng giọt nhỏ (2×2.5µL tốt hơn 1×5µL) → màng đồng đều hơn
✅ Bảo quản điện cực ở 4°C khi không dùng</t>
  </si>
  <si>
    <t>Màng CA/Nafion trên GCE, đồng đều, không bong tróc</t>
  </si>
  <si>
    <t>GĐ7
Điều Kiện Đo
Ion Kim Loại
(DPASV)</t>
  </si>
  <si>
    <t>7.1</t>
  </si>
  <si>
    <t>Chuẩn bị đệm và điện dịch – Ion kim loại Pb²⁺, Cd²⁺</t>
  </si>
  <si>
    <t>CH₃COONa, CH₃COOH (glacial)
DI water (độ dẫn &lt;0.1 µS/cm)</t>
  </si>
  <si>
    <t>Đệm acetate 0.1M, pH 4.5:
• 8.2g CH₃COONa + 5.75mL CH₃COOH → pha thành 1L với DI water
• Chỉnh pH = 4.5 bằng NaOH 0.1M hoặc HCl 0.1M
Standard Pb²⁺: 1000 ppm (Pb(NO₃)₂) → pha loãng
Standard Cd²⁺: 1000 ppm (Cd(NO₃)₂·4H₂O) → pha loãng</t>
  </si>
  <si>
    <t>pH meter (calibrate 3 điểm), pipette chính xác
Bình định mức 1L</t>
  </si>
  <si>
    <t>Pha đệm: 30 min
Đo pH và chỉnh: 15 min</t>
  </si>
  <si>
    <t>⚠ pH phải đo chính xác – sai 0.2 đơn vị → peak Pb dịch chuyển ~10mV
⚠ DI water chất lượng cao – nếu không có: dùng nước cất 2 lần
✅ pH 4.5 tối ưu cho Pb²⁺ và Cd²⁺ đồng thời (ASV/DPASV)
✅ Pha standard trong đệm acetate để ma trận giống mẫu</t>
  </si>
  <si>
    <t>Đệm acetate pH 4.5 ổn định
Dung dịch chuẩn Pb²⁺ và Cd²⁺</t>
  </si>
  <si>
    <t>7.2</t>
  </si>
  <si>
    <t>Đo DPASV (Differential Pulse Anodic Stripping Voltammetry) – Quy trình đo</t>
  </si>
  <si>
    <t>Hệ 3 điện cực:
• WE: CA/GCE
• RE: Ag/AgCl (3M KCl)
• CE: Pt wire</t>
  </si>
  <si>
    <t>Dung dịch đo: 10mL đệm acetate pH 4.5 + standard Pb²⁺/Cd²⁺
Thổi N₂ 10 min trước khi đo (khử O₂ hòa tan)</t>
  </si>
  <si>
    <t>Potentiostat (CHI 760 hoặc tương đương)
Cell 3 điện cực 20mL
Bình N₂ với đầu sục khí</t>
  </si>
  <si>
    <t>BƯỚC PRECONCENTRATION (Accumulation):
• E_acc = −1.2V (vs Ag/AgCl)
• t_acc = 120s (khảo sát: 60/120/180/240s)
• Khuấy: 400 rpm
BƯỚC STRIPPING (DPASV):
• Quét từ −1.2V → +0.2V
• Pulse amplitude: 50mV
• Pulse width: 50ms
• Step potential: 5mV
• Scan rate: 100mV/s
KẾT QUẢ KỲ VỌNG (peak potential vs Ag/AgCl):
• Cd²⁺: ~−0.75V
• Pb²⁺: ~−0.55V</t>
  </si>
  <si>
    <t>120s acc
+ ~20s scan
= ~2.5 min/lần đo</t>
  </si>
  <si>
    <t>⚠ Thổi N₂ KHÔNG ĐỦ → O₂ còn lại → peak nhiễu lớn ~−0.3V che Pb²⁺
⚠ Không khuấy trong giai đoạn stripping
⚠ E_acc quá âm (&lt;−1.3V) → H₂ evolution → bong màng CA
✅ Mỗi lần đo mới: GCE phải được 'làm sạch' bằng quét +0.5V/30s để loại Pb bám lại
✅ Ghi tất cả thông số vào lab notebook ngay sau đo</t>
  </si>
  <si>
    <t>Voltammogram DPASV rõ peak Pb²⁺ (~−0.55V) và Cd²⁺ (~−0.75V)
LOD target: Pb &lt;0.1 ppb, Cd &lt;0.05 ppb</t>
  </si>
  <si>
    <t>7.3</t>
  </si>
  <si>
    <t>Đường chuẩn và LOD (10 nồng độ)</t>
  </si>
  <si>
    <t>Pb(NO₃)₂, Cd(NO₃)₂
Đệm acetate 0.1M pH 4.5</t>
  </si>
  <si>
    <t>Nồng độ: 0.005 / 0.01 / 0.05 / 0.1 / 0.5 / 1.0 / 5.0 / 10 / 50 / 100 ppb
Mỗi nồng độ đo 3 lần lặp (n=3)</t>
  </si>
  <si>
    <t>Potentiostat, micropipette</t>
  </si>
  <si>
    <t>DPASV: E_acc=−1.2V, t_acc=120s
Cùng thông số với 7.2</t>
  </si>
  <si>
    <t>~3h cho toàn bộ đường chuẩn</t>
  </si>
  <si>
    <t>⚠ Pha loãng dãy chuẩn TRONG đệm (không phải DI water) → ma trận nhất quán
⚠ Pha fresh mỗi ngày đo
✅ LOD = 3σ/S (σ = SD của 10 lần đo blank; S = slope đường chuẩn)
✅ R² phải &gt;0.998 cho toàn bộ linear range</t>
  </si>
  <si>
    <t>Đường chuẩn tuyến tính R²&gt;0.998
LOD và LOQ tính theo IUPAC</t>
  </si>
  <si>
    <t>GĐ8
Điều Kiện Đo
Dopamine
(DPV)
[Tham khảo]</t>
  </si>
  <si>
    <t>8.1</t>
  </si>
  <si>
    <t>Chuẩn bị đệm PBS pH 7.4 – Đo Dopamine</t>
  </si>
  <si>
    <t>Na₂HPO₄, NaH₂PO₄
Dopamine HCl (Sigma-Aldrich)
DI water</t>
  </si>
  <si>
    <t>PBS 0.1M pH 7.4:
• 80mL Na₂HPO₄ 0.1M + 20mL NaH₂PO₄ 0.1M → chỉnh pH 7.4
Standard DA: 10 mM (stock) → pha từ DA·HCl trong PBS
Pha fresh mỗi ngày, bảo quản 4°C, tối</t>
  </si>
  <si>
    <t>pH meter, bình định mức</t>
  </si>
  <si>
    <t>⚠ DA bị oxy hóa ngoài không khí → pha fresh ngay trước khi dùng
⚠ Tránh ánh sáng (DA nhạy quang)
✅ Thêm 0.1mM ascorbic acid vào stock để ổn định nếu cần</t>
  </si>
  <si>
    <t>PBS 0.1M pH 7.4 ổn định
DA stock 10mM (bảo quản đúng)</t>
  </si>
  <si>
    <t>8.2</t>
  </si>
  <si>
    <t>Đo DPV (Differential Pulse Voltammetry) – Dopamine</t>
  </si>
  <si>
    <t>Hệ 3 điện cực (như GĐ7)
DA trong PBS pH 7.4</t>
  </si>
  <si>
    <t>Interferents cần test đồng thời:
• Ascorbic acid (AA): 100 µM
• Uric acid (UA): 50 µM
• Glucose: 1 mM</t>
  </si>
  <si>
    <t>Potentiostat</t>
  </si>
  <si>
    <t>DPV parameters:
• Quét từ −0.2V → +0.6V (vs Ag/AgCl)
• Pulse amplitude: 50mV
• Pulse width: 50ms
• Step: 5mV
• Scan rate: 50mV/s
KẾT QUẢ KỲ VỌNG:
• AA: ~−0.05V
• DA: ~+0.15V
• UA: ~+0.30V
(3 peak phân tách rõ → tính chọn lọc)</t>
  </si>
  <si>
    <t>~30s/scan</t>
  </si>
  <si>
    <t>⚠ Không cần preconcentration (khác với ion KL)
⚠ Peak DA và AA có thể overlap nếu vật liệu không đủ hoạt tính → cần surface modification tốt
✅ pH 7.4 bắt buộc để so sánh với điều kiện sinh lý</t>
  </si>
  <si>
    <t>DPV peak DA rõ ràng tại ~+0.15V, tách biệt AA và UA
LOD target: &lt;50 nM</t>
  </si>
  <si>
    <t>📋 CHÚ GIẢI MÀU SẮC: 🟡 GĐ1 Tiền xử lý  🟢 GĐ2 Hydrogel  🔵 GĐ3 Solvent Exchange  🟠 GĐ4 Sấy  🟣 GĐ5 Carbonization  🟢đậm GĐ6 Điện cực  🔴 GĐ7 Đo ion KL  🔵nhạt GĐ8 Đo DA</t>
  </si>
  <si>
    <t>BẢNG BỐ TRÍ THÍ NGHIỆM – TỐI ƯU HÓA VẬT LIỆU &amp; ĐIỆN CỰC (GANTT &amp; MA TRẬN)</t>
  </si>
  <si>
    <t>A. MA TRẬN BIẾN SỐ CẦN TỐI ƯU HÓA</t>
  </si>
  <si>
    <t>STT</t>
  </si>
  <si>
    <t>Biến số</t>
  </si>
  <si>
    <t>Mức 1 (thấp)</t>
  </si>
  <si>
    <t>Mức 2</t>
  </si>
  <si>
    <t>Mức 3 (cao)</t>
  </si>
  <si>
    <t>Mức 4</t>
  </si>
  <si>
    <t>Số mẫu</t>
  </si>
  <si>
    <t>Có thể song song?</t>
  </si>
  <si>
    <t>Thiết bị chung</t>
  </si>
  <si>
    <t>Thời gian (ngày)</t>
  </si>
  <si>
    <t>Ưu tiên</t>
  </si>
  <si>
    <t>V1</t>
  </si>
  <si>
    <t>Nồng độ Fe (wt%)</t>
  </si>
  <si>
    <t>0.5</t>
  </si>
  <si>
    <t>1.0</t>
  </si>
  <si>
    <t>1.5</t>
  </si>
  <si>
    <t>2.0</t>
  </si>
  <si>
    <t>✅ Song song</t>
  </si>
  <si>
    <t>Lò nung</t>
  </si>
  <si>
    <t>14</t>
  </si>
  <si>
    <t>★★★</t>
  </si>
  <si>
    <t>V2</t>
  </si>
  <si>
    <t>Nhiệt độ carbonization (°C)</t>
  </si>
  <si>
    <t>700</t>
  </si>
  <si>
    <t>800</t>
  </si>
  <si>
    <t>900</t>
  </si>
  <si>
    <t>V3</t>
  </si>
  <si>
    <t>Tỉ lệ cellulose (wt%)</t>
  </si>
  <si>
    <t>Bình khuấy</t>
  </si>
  <si>
    <t>7</t>
  </si>
  <si>
    <t>★★</t>
  </si>
  <si>
    <t>V4</t>
  </si>
  <si>
    <t>Loại crosslinker</t>
  </si>
  <si>
    <t>ECH</t>
  </si>
  <si>
    <t>Citric acid</t>
  </si>
  <si>
    <t>Bếp từ</t>
  </si>
  <si>
    <t>V5</t>
  </si>
  <si>
    <t>Nguồn N-doping</t>
  </si>
  <si>
    <t>Urea (trong dd)</t>
  </si>
  <si>
    <t>Melamine</t>
  </si>
  <si>
    <t>V6</t>
  </si>
  <si>
    <t>Lượng TMCS (%)</t>
  </si>
  <si>
    <t>10</t>
  </si>
  <si>
    <t>❌ Tuần tự (an toàn)</t>
  </si>
  <si>
    <t>Tủ hút</t>
  </si>
  <si>
    <t>V7</t>
  </si>
  <si>
    <t>Hàm lượng vật liệu trên GCE (µg)</t>
  </si>
  <si>
    <t>GCE/potentiostat</t>
  </si>
  <si>
    <t>V8</t>
  </si>
  <si>
    <t>Loại binder màng</t>
  </si>
  <si>
    <t>Nafion 0.5%</t>
  </si>
  <si>
    <t>Nafion 1%</t>
  </si>
  <si>
    <t>Chitosan</t>
  </si>
  <si>
    <t>GCE</t>
  </si>
  <si>
    <t>V9</t>
  </si>
  <si>
    <t>pH đo dopamine</t>
  </si>
  <si>
    <t>5.0</t>
  </si>
  <si>
    <t>6.0</t>
  </si>
  <si>
    <t>7.0</t>
  </si>
  <si>
    <t>7.4</t>
  </si>
  <si>
    <t>V10</t>
  </si>
  <si>
    <t>Electrolyte đo ion KL</t>
  </si>
  <si>
    <t>ABS pH4.5</t>
  </si>
  <si>
    <t>PBS pH5.0</t>
  </si>
  <si>
    <t>AcB pH4.2</t>
  </si>
  <si>
    <t>B. LỊCH TRÌNH THỰC HIỆN (GANTT ĐƠN GIẢN – 6 THÁNG)</t>
  </si>
  <si>
    <t>Công việc chính</t>
  </si>
  <si>
    <t>T1</t>
  </si>
  <si>
    <t>T2</t>
  </si>
  <si>
    <t>T3</t>
  </si>
  <si>
    <t>T4</t>
  </si>
  <si>
    <t>T5</t>
  </si>
  <si>
    <t>T6</t>
  </si>
  <si>
    <t>Song song được?</t>
  </si>
  <si>
    <t>Nhân lực đề xuất</t>
  </si>
  <si>
    <t>Ghi chú</t>
  </si>
  <si>
    <t>GĐ1-2</t>
  </si>
  <si>
    <t>Tiền xử lý &amp; tổng hợp hydrogel</t>
  </si>
  <si>
    <t>████</t>
  </si>
  <si>
    <t>✅ 2 người</t>
  </si>
  <si>
    <t>2 người</t>
  </si>
  <si>
    <t>Có thể batch 4–6 mẫu cùng lúc</t>
  </si>
  <si>
    <t>GĐ3-4</t>
  </si>
  <si>
    <t>Solvent exchange, TMCS, sấy</t>
  </si>
  <si>
    <t>⚠ 1 người (an toàn)</t>
  </si>
  <si>
    <t>1 người</t>
  </si>
  <si>
    <t>Lên lịch TMCS riêng, đặt lịch tủ hút</t>
  </si>
  <si>
    <t>GĐ5</t>
  </si>
  <si>
    <t>Carbonization (700/800/900°C)</t>
  </si>
  <si>
    <t>✅ Batch 3 ống</t>
  </si>
  <si>
    <t>Lò 3 vị trí → chạy 3 mẫu/lần</t>
  </si>
  <si>
    <t>GĐ6</t>
  </si>
  <si>
    <t>Đặc trưng vật liệu (XRD, Raman, BET, SEM/TEM)</t>
  </si>
  <si>
    <t>✅ Gửi song song</t>
  </si>
  <si>
    <t>1–2 người</t>
  </si>
  <si>
    <t>Đặt lịch máy sớm; SEM/TEM thường mất 2–4 tuần chờ</t>
  </si>
  <si>
    <t>GĐ7</t>
  </si>
  <si>
    <t>Chế tạo &amp; tối ưu điện cực GCE</t>
  </si>
  <si>
    <t>✅ 2 điện cực/ngày</t>
  </si>
  <si>
    <t>Chuẩn bị GCE sạch trước</t>
  </si>
  <si>
    <t>GĐ8</t>
  </si>
  <si>
    <t>Đo điện hóa (CV, DPV, EIS, ASV)</t>
  </si>
  <si>
    <t>✅ Parallel analytes</t>
  </si>
  <si>
    <t>Dopamine &amp; ion KL đo cùng ngày nếu có 2 potentiostat</t>
  </si>
  <si>
    <t>GĐ9</t>
  </si>
  <si>
    <t>Phân tích số liệu &amp; viết bài</t>
  </si>
  <si>
    <t>✅ Có thể từ T4</t>
  </si>
  <si>
    <t>Bắt đầu viết từ tháng 4 khi có đặc trưng</t>
  </si>
  <si>
    <t>BẢNG HƯỚNG NGHIÊN CỨU CÓ THỂ CÔNG BỐ – PHÂN TÍCH MỨC ĐỘ KHẢ THI &amp; TẠP CHÍ MỤC TIÊU</t>
  </si>
  <si>
    <t>Hướng nghiên cứu</t>
  </si>
  <si>
    <t>Analyte mục tiêu</t>
  </si>
  <si>
    <t>Điểm mới chính</t>
  </si>
  <si>
    <t>Tạp chí mục tiêu</t>
  </si>
  <si>
    <t>IF ước tính</t>
  </si>
  <si>
    <t>Q hạng</t>
  </si>
  <si>
    <t>Khả thi?</t>
  </si>
  <si>
    <t>Thời gian ước tính</t>
  </si>
  <si>
    <t>Ghi chú chiến lược</t>
  </si>
  <si>
    <t>P1</t>
  </si>
  <si>
    <t>Fe-N Carbon Aerogel/GCE phát hiện Pb²⁺ + Cd²⁺ (ASV)</t>
  </si>
  <si>
    <t>Pb²⁺, Cd²⁺</t>
  </si>
  <si>
    <t>Biomass xơ dừa + ambient drying lần đầu cho ASV</t>
  </si>
  <si>
    <t>Sensors &amp; Actuators B</t>
  </si>
  <si>
    <t>8–9</t>
  </si>
  <si>
    <t>Q1</t>
  </si>
  <si>
    <t>✅ Cao</t>
  </si>
  <si>
    <t>6–8 tháng</t>
  </si>
  <si>
    <t>Bài báo CỐT LÕI. LOD &lt;0.01 ppb là cần thiết. So sánh với GCE bare</t>
  </si>
  <si>
    <t>P2</t>
  </si>
  <si>
    <t>Fe-N-CA/GCE sensor dopamine trong PBS pH 7.4</t>
  </si>
  <si>
    <t>Dopamine (DA)</t>
  </si>
  <si>
    <t>Chứng minh tính chọn lọc DA vs AA, UA; LOD &lt;10 nM</t>
  </si>
  <si>
    <t>Analytical Chemistry (ACS)</t>
  </si>
  <si>
    <t>8–10</t>
  </si>
  <si>
    <t>Nên kết hợp EIS để giải thích cơ chế. Dùng cùng vật liệu bài P1 → tiết kiệm</t>
  </si>
  <si>
    <t>P3</t>
  </si>
  <si>
    <t>Phát hiện đồng thời Pb²⁺ + DA trên 1 điện cực</t>
  </si>
  <si>
    <t>Pb²⁺ + DA đồng thời</t>
  </si>
  <si>
    <t>Dual detection trên cùng điện cực – ít bài công bố</t>
  </si>
  <si>
    <t>Journal of Hazardous Materials hoặc ACS Appl. Mater.</t>
  </si>
  <si>
    <t>9–11</t>
  </si>
  <si>
    <t>⚠ Trung bình</t>
  </si>
  <si>
    <t>8–10 tháng</t>
  </si>
  <si>
    <t>Cần tối ưu window thế để 2 peak không overlap. Rủi ro kỹ thuật cao hơn</t>
  </si>
  <si>
    <t>P4</t>
  </si>
  <si>
    <t>So sánh hiệu quả doping đơn N vs Fe-N vs Fe-N-S</t>
  </si>
  <si>
    <t>Pb²⁺ hoặc DA</t>
  </si>
  <si>
    <t>Systematic doping study – phân tích cơ chế DFT</t>
  </si>
  <si>
    <t>Carbon hoặc Electrochimica Acta</t>
  </si>
  <si>
    <t>6–8</t>
  </si>
  <si>
    <t>Q1/Q2</t>
  </si>
  <si>
    <t>10–12 tháng</t>
  </si>
  <si>
    <t>Cần tính toán DFT → cộng tác nhóm lý thuyết hoặc dùng Gaussian/VASP</t>
  </si>
  <si>
    <t>P5</t>
  </si>
  <si>
    <t>Ambient-dried aerogel: so sánh CO₂-supercritical</t>
  </si>
  <si>
    <t>Không cần analyte</t>
  </si>
  <si>
    <t>Review/short comm về ambient vs freeze vs supercritical drying</t>
  </si>
  <si>
    <t>ACS Sustainable Chem. Eng.</t>
  </si>
  <si>
    <t>9</t>
  </si>
  <si>
    <t>4–5 tháng</t>
  </si>
  <si>
    <t>Bài ngắn (short communication), tận dụng dữ liệu BET, SEM đã có từ bài chính</t>
  </si>
  <si>
    <t>P6</t>
  </si>
  <si>
    <t>CA từ xơ dừa cho supercapacitor (spin-off)</t>
  </si>
  <si>
    <t>Năng lượng điện</t>
  </si>
  <si>
    <t>Ứng dụng năng lượng – xu hướng hot 2024–2026</t>
  </si>
  <si>
    <t>Journal of Power Sources</t>
  </si>
  <si>
    <t>Tận dụng CÙNG vật liệu → 2 bài từ 1 quy trình tổng hợp</t>
  </si>
  <si>
    <t>P7</t>
  </si>
  <si>
    <t>Biomass-derived N-doped CA: review 5 năm gần đây</t>
  </si>
  <si>
    <t>Review article</t>
  </si>
  <si>
    <t>Tổng hợp xu hướng; không cần thí nghiệm mới</t>
  </si>
  <si>
    <t>Coordination Chem. Reviews / Chem. Soc. Rev.</t>
  </si>
  <si>
    <t>IF &gt;20</t>
  </si>
  <si>
    <t>⚠ Khó</t>
  </si>
  <si>
    <t>12–18 tháng</t>
  </si>
  <si>
    <t>Chỉ nên làm khi đã có ≥2 bài thực nghiệm. Cần kinh nghiệm viết review</t>
  </si>
  <si>
    <t>BẢNG ĐẶC TRƯNG VẬT LIỆU &amp; CHỈ TIÊU ĐIỆN HÓA – CƠ SỞ SO SÁNH &amp; ĐỊNH LƯỢNG</t>
  </si>
  <si>
    <t>A. ĐẶC TRƯNG VẬT LIỆU (Material Characterization)</t>
  </si>
  <si>
    <t>Phương pháp</t>
  </si>
  <si>
    <t>Thông tin thu được</t>
  </si>
  <si>
    <t>Thông số kỳ vọng (Fe-N-CA tốt)</t>
  </si>
  <si>
    <t>Điều kiện đo</t>
  </si>
  <si>
    <t>Mẫu đối chứng cần thiết</t>
  </si>
  <si>
    <t>Lưu ý phân tích</t>
  </si>
  <si>
    <t>Liên quan đến bài báo nào</t>
  </si>
  <si>
    <t>XRD (Powder)</t>
  </si>
  <si>
    <t>Cấu trúc tinh thể, mức độ carbon hóa, peak Fe₃C/Fe-N</t>
  </si>
  <si>
    <t>Peak C(002) ~26°, D-band/G-band ratio; không có peak Fe oxide lớn</t>
  </si>
  <si>
    <t>Máy XRD (Cu-Kα)</t>
  </si>
  <si>
    <t>2θ: 5–80°, step 0.02°/s</t>
  </si>
  <si>
    <t>Graphite chuẩn, CA-không doping</t>
  </si>
  <si>
    <t>Dùng Debye-Scherrer để tính kích thước tinh thể</t>
  </si>
  <si>
    <t>P1, P2, P4</t>
  </si>
  <si>
    <t>Raman Spectroscopy</t>
  </si>
  <si>
    <t>Tỉ lệ D/G band → độ khuyết tật; peak 2D → graphitization</t>
  </si>
  <si>
    <t>I_D/I_G: 0.8–1.2 (khuyết tật vừa, tốt cho sensor)</t>
  </si>
  <si>
    <t>Raman 532nm laser</t>
  </si>
  <si>
    <t>5 điểm đo, power &lt;5mW tránh cháy mẫu</t>
  </si>
  <si>
    <t>CA-N, CA-Fe, CA-blank</t>
  </si>
  <si>
    <t>Plot 3D map nếu có confocal Raman</t>
  </si>
  <si>
    <t>BET (N₂ adsorption)</t>
  </si>
  <si>
    <t>Diện tích bề mặt, phân bố lỗ xốp (mesopore/micropore)</t>
  </si>
  <si>
    <t>S_BET &gt;500 m²/g; V_pore &gt;0.5 cm³/g; d_pore 2–50nm (mesopore)</t>
  </si>
  <si>
    <t>BET analyzer</t>
  </si>
  <si>
    <t>Degass 200°C, 6h trước đo</t>
  </si>
  <si>
    <t>CA-bare (không doping)</t>
  </si>
  <si>
    <t>Dùng BJH cho phân bố lỗ xốp</t>
  </si>
  <si>
    <t>P1, P2, P3</t>
  </si>
  <si>
    <t>SEM + EDX</t>
  </si>
  <si>
    <t>Hình thái bề mặt, phân bố Fe, N</t>
  </si>
  <si>
    <t>Cấu trúc 3D xốp; EDX: N ~2–8 at%, Fe ~1–5 at%</t>
  </si>
  <si>
    <t>SEM-EDX</t>
  </si>
  <si>
    <t>10 kV, coating Au/Pd</t>
  </si>
  <si>
    <t>CA-bare</t>
  </si>
  <si>
    <t>Chụp ít nhất 5 vùng, phóng đại 1k–50k×</t>
  </si>
  <si>
    <t>P1, P2</t>
  </si>
  <si>
    <t>TEM + SAED</t>
  </si>
  <si>
    <t>Cấu trúc nano, Fe nanoparticles (&lt;10nm)</t>
  </si>
  <si>
    <t>Fe NPs phân tán đều, d&lt;5nm; SAED: vòng graphite mờ</t>
  </si>
  <si>
    <t>HRTEM</t>
  </si>
  <si>
    <t>200 kV</t>
  </si>
  <si>
    <t>CA-Fe (không N)</t>
  </si>
  <si>
    <t>Đếm kích thước ≥50 particles</t>
  </si>
  <si>
    <t>XPS (X-ray Photoelectron)</t>
  </si>
  <si>
    <t>Trạng thái hóa học Fe (Fe²⁺/Fe³⁺), N (pyridinic/pyrrolic/graphitic)</t>
  </si>
  <si>
    <t>N: pyridinic-N chiếm ưu thế (398.5 eV); Fe 2p: Fe-Nx ~710 eV</t>
  </si>
  <si>
    <t>XPS</t>
  </si>
  <si>
    <t>Al-Kα, pass energy 20eV</t>
  </si>
  <si>
    <t>CA-blank, CA-N</t>
  </si>
  <si>
    <t>Deconvolution peak dùng CasaXPS/Origin</t>
  </si>
  <si>
    <t>TGA</t>
  </si>
  <si>
    <t>Độ bền nhiệt, hàm lượng tro (Fe oxide còn lại)</t>
  </si>
  <si>
    <t>Mất khối &lt;5% dưới 400°C; tro ~5–15%</t>
  </si>
  <si>
    <t>N₂, 25→900°C, 10°C/min</t>
  </si>
  <si>
    <t>Tính % Fe thực tế trong mẫu</t>
  </si>
  <si>
    <t>FTIR</t>
  </si>
  <si>
    <t>Nhóm chức (−OH, C=N, Fe−N, C−N)</t>
  </si>
  <si>
    <t>Mất peak −OH sau carbon hóa; xuất hiện C≡N, C−N</t>
  </si>
  <si>
    <t>FTIR (KBr pellet hoặc ATR)</t>
  </si>
  <si>
    <t>400–4000 cm⁻¹</t>
  </si>
  <si>
    <t>Xơ dừa ban đầu, cellulose chuẩn</t>
  </si>
  <si>
    <t>So sánh trước/sau carbonization</t>
  </si>
  <si>
    <t>B. CHỈ TIÊU ĐIỆN HÓA – CƠ SỞ SO SÁNH (Electrochemical Performance)</t>
  </si>
  <si>
    <t>Thông số</t>
  </si>
  <si>
    <t>Định nghĩa / Công thức</t>
  </si>
  <si>
    <t>Giá trị kỳ vọng tốt</t>
  </si>
  <si>
    <t>Phương pháp đo</t>
  </si>
  <si>
    <t>Điều kiện cụ thể</t>
  </si>
  <si>
    <t>Mẫu so sánh</t>
  </si>
  <si>
    <t>Sai lầm thường gặp</t>
  </si>
  <si>
    <t>Yêu cầu báo cáo Q1</t>
  </si>
  <si>
    <t>LOD (Limit of Detection)</t>
  </si>
  <si>
    <t>LOD = 3σ/S (σ: noise SD, S: độ nhạy)</t>
  </si>
  <si>
    <t>Pb²⁺: &lt;0.05 ppb; DA: &lt;10 nM</t>
  </si>
  <si>
    <t>DPV/ASV</t>
  </si>
  <si>
    <t>Đường chuẩn 10 nồng độ, mỗi nồng độ 3 lần</t>
  </si>
  <si>
    <t>GCE bare, CA/GCE không doping</t>
  </si>
  <si>
    <t>Dùng sai công thức (không tính σ từ blank); LOD quá thấp bất hợp lý</t>
  </si>
  <si>
    <t>Phải báo cáo theo IUPAC; kèm đường chuẩn</t>
  </si>
  <si>
    <t>LOQ (Limit of Quantification)</t>
  </si>
  <si>
    <t>LOQ = 10σ/S</t>
  </si>
  <si>
    <t>LOQ = 3.3 × LOD</t>
  </si>
  <si>
    <t>DPV</t>
  </si>
  <si>
    <t>Như trên</t>
  </si>
  <si>
    <t>Thường bị bỏ qua → reviewer yêu cầu</t>
  </si>
  <si>
    <t>Cần kèm LOD</t>
  </si>
  <si>
    <t>Sensitivity (độ nhạy)</t>
  </si>
  <si>
    <t>Độ dốc đường chuẩn (µA/nM hoặc µA/ppb·cm²)</t>
  </si>
  <si>
    <t>DA: &gt;1 µA/nM·cm²; Pb²⁺: &gt;100 µA/ppb·cm²</t>
  </si>
  <si>
    <t>Chuẩn bị fresh mỗi ngày</t>
  </si>
  <si>
    <t>GCE bare</t>
  </si>
  <si>
    <t>Không chuẩn hóa theo diện tích điện cực → so sánh không công bằng</t>
  </si>
  <si>
    <t>Normalize theo electrode area</t>
  </si>
  <si>
    <t>Linear Range (khoảng tuyến tính)</t>
  </si>
  <si>
    <t>Khoảng nồng độ có R² &gt;0.99</t>
  </si>
  <si>
    <t>DA: 0.01–100 µM; Pb: 0.01–10 ppb</t>
  </si>
  <si>
    <t>Pha loãng serial</t>
  </si>
  <si>
    <t>Chỉ báo cáo 1 range hẹp để có R² cao</t>
  </si>
  <si>
    <t>Cần ít nhất 2 linear ranges (low &amp; high)</t>
  </si>
  <si>
    <t>Selectivity (tính chọn lọc)</t>
  </si>
  <si>
    <t>Peak current thay đổi &lt;10% khi thêm interferent</t>
  </si>
  <si>
    <t>DA: chịu AA, UA, glucose 10× excess; Pb: chịu Cu²⁺, Zn²⁺</t>
  </si>
  <si>
    <t>Thêm từng interferent riêng, 10 mM vs 1 mM analyte</t>
  </si>
  <si>
    <t>Chỉ test 1–2 interferent → không đủ</t>
  </si>
  <si>
    <t>≥10 interferents là tiêu chuẩn Q1</t>
  </si>
  <si>
    <t>Repeatability (RSD)</t>
  </si>
  <si>
    <t>%RSD của 5 lần đo liên tiếp</t>
  </si>
  <si>
    <t>RSD &lt;3%</t>
  </si>
  <si>
    <t>DPV/CV</t>
  </si>
  <si>
    <t>Cùng điện cực, cùng ngày, n=5</t>
  </si>
  <si>
    <t>Nhầm repeatability vs reproducibility</t>
  </si>
  <si>
    <t>Cần cả repeatability + reproducibility</t>
  </si>
  <si>
    <t>Reproducibility</t>
  </si>
  <si>
    <t>RSD giữa 5 điện cực chế tạo độc lập</t>
  </si>
  <si>
    <t>RSD &lt;5%</t>
  </si>
  <si>
    <t>5 GCE khác nhau</t>
  </si>
  <si>
    <t>Chỉ test 1 điện cực → reviewer từ chối</t>
  </si>
  <si>
    <t>Cần n=5 independent electrodes</t>
  </si>
  <si>
    <t>Stability</t>
  </si>
  <si>
    <t>% thay đổi peak sau bảo quản 30 ngày</t>
  </si>
  <si>
    <t>&gt;90% còn lại sau 30 ngày, 4°C</t>
  </si>
  <si>
    <t>Đo ngày 1, 7, 14, 21, 30</t>
  </si>
  <si>
    <t>Không đo đủ time points</t>
  </si>
  <si>
    <t>Cần ít nhất 4 time points</t>
  </si>
  <si>
    <t>Real sample recovery</t>
  </si>
  <si>
    <t>% recovery trong mẫu thực (nước sông, nước tiểu)</t>
  </si>
  <si>
    <t>Recovery 95–105%</t>
  </si>
  <si>
    <t>DPV/Standard addition</t>
  </si>
  <si>
    <t>Spike 3 nồng độ vào mẫu thực</t>
  </si>
  <si>
    <t>HPLC/ICP hoặc certified reference material</t>
  </si>
  <si>
    <t>Không dùng standard addition method</t>
  </si>
  <si>
    <t>Bắt buộc cho Q1; ≥3 mẫu thực</t>
  </si>
  <si>
    <t>EIS (Rct)</t>
  </si>
  <si>
    <t>Điện trở chuyển điện tích (charge transfer resistance)</t>
  </si>
  <si>
    <t>Rct giảm mạnh sau khi modify GCE</t>
  </si>
  <si>
    <t>EIS</t>
  </si>
  <si>
    <t>Freq: 0.01–100kHz; AC amp 5mV; DC = E°</t>
  </si>
  <si>
    <t>GCE bare, CA/GCE</t>
  </si>
  <si>
    <t>Không dùng Randles circuit phù hợp</t>
  </si>
  <si>
    <t>Phải giải thích Rct và fit model</t>
  </si>
  <si>
    <t>DANH SÁCH VẬT TƯ HÓA CHẤT &amp; ƯỚC TÍNH CHI PHÍ TOÀN DỰ ÁN</t>
  </si>
  <si>
    <t>Hóa chất / Vật tư</t>
  </si>
  <si>
    <t>Mục đích</t>
  </si>
  <si>
    <t>Nhà cung cấp gợi ý</t>
  </si>
  <si>
    <t>Quy cách</t>
  </si>
  <si>
    <t>Số lượng</t>
  </si>
  <si>
    <t>Đơn giá ước tính (VNĐ)</t>
  </si>
  <si>
    <t>Thành tiền (VNĐ)</t>
  </si>
  <si>
    <t>Xơ dừa (coir fiber)</t>
  </si>
  <si>
    <t>Nguyên liệu chính</t>
  </si>
  <si>
    <t>Chợ địa phương / hợp tác xã</t>
  </si>
  <si>
    <t>1 kg</t>
  </si>
  <si>
    <t>15,000</t>
  </si>
  <si>
    <t>NaOH (96%)</t>
  </si>
  <si>
    <t>Tiền xử lý, hòa tan cellulose</t>
  </si>
  <si>
    <t>Xilong / Merck</t>
  </si>
  <si>
    <t>500g</t>
  </si>
  <si>
    <t>85,000</t>
  </si>
  <si>
    <t>Urea (99%)</t>
  </si>
  <si>
    <t>Dung môi hòa tan + N-doping</t>
  </si>
  <si>
    <t>Xilong</t>
  </si>
  <si>
    <t>45,000</t>
  </si>
  <si>
    <t>Melamine (99%)</t>
  </si>
  <si>
    <t>N-doping nguồn phụ</t>
  </si>
  <si>
    <t>Sigma-Aldrich</t>
  </si>
  <si>
    <t>100g</t>
  </si>
  <si>
    <t>320,000</t>
  </si>
  <si>
    <t>FeCl₃·6H₂O (97%)</t>
  </si>
  <si>
    <t>Fe-doping</t>
  </si>
  <si>
    <t>Xilong / Sigma</t>
  </si>
  <si>
    <t>250g</t>
  </si>
  <si>
    <t>180,000</t>
  </si>
  <si>
    <t>6</t>
  </si>
  <si>
    <t>Epichlorohydrin (ECH)</t>
  </si>
  <si>
    <t>Crosslinker (PA grade)</t>
  </si>
  <si>
    <t>100mL</t>
  </si>
  <si>
    <t>850,000</t>
  </si>
  <si>
    <t>Citric acid (monohydrate)</t>
  </si>
  <si>
    <t>Crosslinker xanh</t>
  </si>
  <si>
    <t>55,000</t>
  </si>
  <si>
    <t>8</t>
  </si>
  <si>
    <t>TMCS (Trimethylchlorosilane, 99%)</t>
  </si>
  <si>
    <t>Surface modification</t>
  </si>
  <si>
    <t>1,200,000</t>
  </si>
  <si>
    <t>n-Hexane (anhydrous)</t>
  </si>
  <si>
    <t>Dung môi TMCS</t>
  </si>
  <si>
    <t>2.5L</t>
  </si>
  <si>
    <t>380,000</t>
  </si>
  <si>
    <t>Ethanol tuyệt đối (99.8%)</t>
  </si>
  <si>
    <t>Solvent exchange</t>
  </si>
  <si>
    <t>210,000</t>
  </si>
  <si>
    <t>11</t>
  </si>
  <si>
    <t>GCE (Glassy Carbon Electrode, 3mm)</t>
  </si>
  <si>
    <t>Điện cực nền</t>
  </si>
  <si>
    <t>Pine Research / CH Instruments</t>
  </si>
  <si>
    <t>1 pc</t>
  </si>
  <si>
    <t>750,000</t>
  </si>
  <si>
    <t>12</t>
  </si>
  <si>
    <t>Nafion solution (5% in alcohol)</t>
  </si>
  <si>
    <t>Binder màng điện cực</t>
  </si>
  <si>
    <t>5mL</t>
  </si>
  <si>
    <t>1,850,000</t>
  </si>
  <si>
    <t>13</t>
  </si>
  <si>
    <t>PBS tablets (pH 7.4)</t>
  </si>
  <si>
    <t>Đệm đo dopamine</t>
  </si>
  <si>
    <t>100 tablets</t>
  </si>
  <si>
    <t>230,000</t>
  </si>
  <si>
    <t>Acetate buffer (pH 4.5)</t>
  </si>
  <si>
    <t>Đệm đo ion KL</t>
  </si>
  <si>
    <t>Tự pha</t>
  </si>
  <si>
    <t>50,000</t>
  </si>
  <si>
    <t>15</t>
  </si>
  <si>
    <t>Pb(NO₃)₂, Cd(NO₃)₂, CuSO₄</t>
  </si>
  <si>
    <t>Chuẩn bị standard ion KL</t>
  </si>
  <si>
    <t>Merck</t>
  </si>
  <si>
    <t>100g/mỗi loại</t>
  </si>
  <si>
    <t>280,000</t>
  </si>
  <si>
    <t>16</t>
  </si>
  <si>
    <t>Dopamine HCl (99%)</t>
  </si>
  <si>
    <t>Chuẩn bị standard DA</t>
  </si>
  <si>
    <t>1g</t>
  </si>
  <si>
    <t>650,000</t>
  </si>
  <si>
    <t>17</t>
  </si>
  <si>
    <t>Ascorbic acid, Uric acid</t>
  </si>
  <si>
    <t>Interferent test</t>
  </si>
  <si>
    <t>500g/mỗi loại</t>
  </si>
  <si>
    <t>95,000</t>
  </si>
  <si>
    <t>18</t>
  </si>
  <si>
    <t>KCl (99%), K₃Fe(CN)₆</t>
  </si>
  <si>
    <t>Điện dịch EIS</t>
  </si>
  <si>
    <t>120,000</t>
  </si>
  <si>
    <t>19</t>
  </si>
  <si>
    <t>HNO₃, HCl (PA grade)</t>
  </si>
  <si>
    <t>Rửa GCE, pha chế</t>
  </si>
  <si>
    <t>1L/mỗi loại</t>
  </si>
  <si>
    <t>20</t>
  </si>
  <si>
    <t>Al₂O₃ polishing powder (0.05µm)</t>
  </si>
  <si>
    <t>Đánh bóng GCE</t>
  </si>
  <si>
    <t>BASi / CH Instruments</t>
  </si>
  <si>
    <t>pack 25g</t>
  </si>
  <si>
    <t>480,000</t>
  </si>
  <si>
    <t>21</t>
  </si>
  <si>
    <t>Cuvet thạch anh</t>
  </si>
  <si>
    <t>Raman/UV-Vis</t>
  </si>
  <si>
    <t>250,000</t>
  </si>
  <si>
    <t>22</t>
  </si>
  <si>
    <t>KBr (IR grade)</t>
  </si>
  <si>
    <t>FTIR pellet</t>
  </si>
  <si>
    <t>Sigma</t>
  </si>
  <si>
    <t>420,000</t>
  </si>
  <si>
    <t>23</t>
  </si>
  <si>
    <t>Khí N₂ (99.999%)</t>
  </si>
  <si>
    <t>Carbonization, degassing</t>
  </si>
  <si>
    <t>Air Liquide VN</t>
  </si>
  <si>
    <t>cylinder 10m³</t>
  </si>
  <si>
    <t>24</t>
  </si>
  <si>
    <t>Dụng cụ thủy tinh tổng hợp</t>
  </si>
  <si>
    <t>Beaker, flask, pipette...</t>
  </si>
  <si>
    <t>Nhiều nhà cung cấp</t>
  </si>
  <si>
    <t>bộ</t>
  </si>
  <si>
    <t>2,500,000</t>
  </si>
  <si>
    <t>25</t>
  </si>
  <si>
    <t>Màng lọc PTFE 0.45µm</t>
  </si>
  <si>
    <t>Lọc mẫu trước đo</t>
  </si>
  <si>
    <t>pack 100</t>
  </si>
  <si>
    <t>350,000</t>
  </si>
  <si>
    <t>TỔNG CHI PHÍ ƯỚC TÍNH (chưa bao gồm phí thiết bị đo, dịch vụ phân tích bên ngoài)</t>
  </si>
  <si>
    <t>📌 LƯU Ý CHI PHÍ &amp; MUA SẮM</t>
  </si>
  <si>
    <t>• Ưu tiên mua hóa chất từ Xilong (TQ, giá rẻ) cho giai đoạn screening; chuyển sang Sigma-Aldrich cho mẫu đo final công bố</t>
  </si>
  <si>
    <t>• TMCS và ECH là hóa chất nguy hiểm – cần kiểm tra quy trình nhập khẩu, lưu kho theo MSDS</t>
  </si>
  <si>
    <t>• GCE 3mm: mua 10 cái để dự phòng hư hỏng; có thể tái sử dụng nếu đánh bóng đúng cách</t>
  </si>
  <si>
    <t>• Phí đo BET, XPS, TEM thường tính theo dịch vụ (150–500k/mẫu) – KHÔNG có trong bảng, cần bổ sung vào đề tài</t>
  </si>
  <si>
    <t>• Khí N₂: liên hệ Air Liquide Vietnam; nếu lab đã có hệ thống gas thì không cần mua thêm</t>
  </si>
  <si>
    <t>LỜI KHUYÊN TỪ GIÁO SƯ HƯỚNG DẪN – NHỮNG SAI PHẠM &amp; CÁCH KHẮC PHỤC</t>
  </si>
  <si>
    <t>Loại vấn đề</t>
  </si>
  <si>
    <t>Mô tả sai phạm phổ biến</t>
  </si>
  <si>
    <t>Hậu quả</t>
  </si>
  <si>
    <t>Cách khắc phục / Lưu ý</t>
  </si>
  <si>
    <t>S1</t>
  </si>
  <si>
    <t>Tổng hợp</t>
  </si>
  <si>
    <t>Dùng nồng độ NaOH quá cao (&gt;5%) khi tiền xử lý</t>
  </si>
  <si>
    <t>Phá hủy cấu trúc cellulose → không tạo gel được</t>
  </si>
  <si>
    <t>Giữ NaOH 2%, tăng thời gian xử lý lên 3–4h nếu cần làm sạch hơn</t>
  </si>
  <si>
    <t>S2</t>
  </si>
  <si>
    <t>Thêm Fe³⁺ quá nhanh vào dung dịch kiềm</t>
  </si>
  <si>
    <t>Fe(OH)₃ kết tủa → phân tán không đều → EDX thấy Fe cục bộ</t>
  </si>
  <si>
    <t>Thêm từng giọt (dropwise), khuấy mạnh; pH dung dịch không nên &gt;10 khi thêm Fe</t>
  </si>
  <si>
    <t>S3</t>
  </si>
  <si>
    <t>Sấy thường không kiểm soát tốc độ nâng nhiệt</t>
  </si>
  <si>
    <t>Aerogel nứt vỡ, cấu trúc xốp bị collapse</t>
  </si>
  <si>
    <t>Nâng nhiệt độ tối đa 10°C/h; giữ ở 60°C 12h trước khi lên 80°C</t>
  </si>
  <si>
    <t>S4</t>
  </si>
  <si>
    <t>Không degass N₂ kỹ trước khi nung</t>
  </si>
  <si>
    <t>O₂ còn lại → cháy mẫu, tạo CO₂ thay vì carbon</t>
  </si>
  <si>
    <t>Chạy N₂ flow 30 min trước khi bật lò; kiểm tra kín khí</t>
  </si>
  <si>
    <t>S5</t>
  </si>
  <si>
    <t>An toàn</t>
  </si>
  <si>
    <t>Thao tác TMCS không trong tủ hút</t>
  </si>
  <si>
    <t>Hít phải HCl khí và TMCS → nguy hiểm sức khỏe; phản ứng với ẩm không khí</t>
  </si>
  <si>
    <t>TMCS chỉ thao tác trong tủ hút; mang găng tay nitrile, kính bảo hộ; có bình CO₂ cạnh</t>
  </si>
  <si>
    <t>E1</t>
  </si>
  <si>
    <t>Không đánh bóng GCE đúng cách trước khi modify</t>
  </si>
  <si>
    <t>Background current cao, tín hiệu DA hoặc ion KL kém, RSD &gt;10%</t>
  </si>
  <si>
    <t>Đánh bóng theo thứ tự: 1µm → 0.3µm → 0.05µm Al₂O₃; rửa siêu âm 5 min trong EtOH, DI water</t>
  </si>
  <si>
    <t>E2</t>
  </si>
  <si>
    <t>Dùng quá nhiều vật liệu CA trên GCE (&gt;15 µg/cm²)</t>
  </si>
  <si>
    <t>Màng dày → khuếch tán ion chậm → sensitivity giảm, peak tù</t>
  </si>
  <si>
    <t>Tối ưu 5–10 µg/cm² là phổ biến; cần khảo sát V7 trong Sheet 3</t>
  </si>
  <si>
    <t>E3</t>
  </si>
  <si>
    <t>Không dùng fresh solution của dopamine khi đo</t>
  </si>
  <si>
    <t>Dopamine bị oxy hóa ngoài không khí → nồng độ thực thấp hơn dán nhãn</t>
  </si>
  <si>
    <t>Pha fresh DA mỗi ngày; bảo quản dung dịch gốc ở 4°C, tối, không quá 1 tuần</t>
  </si>
  <si>
    <t>E4</t>
  </si>
  <si>
    <t>Không kiểm soát pH khi đo DA</t>
  </si>
  <si>
    <t>Oxi hóa DA nhạy cảm pH → E_peak dịch, sensitivity thay đổi</t>
  </si>
  <si>
    <t>Luôn dùng PBS đệm 0.1M pH 7.4; đo pH trước mỗi thí nghiệm</t>
  </si>
  <si>
    <t>D1</t>
  </si>
  <si>
    <t>Dữ liệu</t>
  </si>
  <si>
    <t>LOD tính từ đường chuẩn không ở vùng tuyến tính</t>
  </si>
  <si>
    <t>LOD sai, reviewer từ chối</t>
  </si>
  <si>
    <t>Chỉ tính LOD = 3σ/S với S = slope trong linear range; vẽ residual plot</t>
  </si>
  <si>
    <t>D2</t>
  </si>
  <si>
    <t>So sánh với tài liệu dùng đơn vị khác nhau (ppb vs nM vs µg/L)</t>
  </si>
  <si>
    <t>Bảng so sánh sai → mất uy tín</t>
  </si>
  <si>
    <t>Quy đổi tất cả về cùng đơn vị; Pb²⁺: dùng nM và ppb song song</t>
  </si>
  <si>
    <t>D3</t>
  </si>
  <si>
    <t>Không làm blank/control đủ</t>
  </si>
  <si>
    <t>Không chứng minh tín hiệu từ analyte → bài bị từ chối</t>
  </si>
  <si>
    <t>Luôn đo: (1) buffer blank, (2) GCE bare, (3) CA/GCE không doping, (4) mẫu đích</t>
  </si>
  <si>
    <t>D4</t>
  </si>
  <si>
    <t>Bảng so sánh với tài liệu (Table comparison) thiếu reference đầy đủ</t>
  </si>
  <si>
    <t>Bị nghi ngờ plagiarism hoặc fabrication</t>
  </si>
  <si>
    <t>Mỗi row trong bảng comparison phải có DOI; dùng Web of Science để verify</t>
  </si>
  <si>
    <t>D5</t>
  </si>
  <si>
    <t>Hình SEM không có scale bar hoặc chú thích rõ</t>
  </si>
  <si>
    <t>Reviewer yêu cầu chỉnh sửa, delay</t>
  </si>
  <si>
    <t>Mọi hình SEM/TEM phải có scale bar, magnification, kV trong caption</t>
  </si>
  <si>
    <t>D6</t>
  </si>
  <si>
    <t>Phạm vi</t>
  </si>
  <si>
    <t>Đi ngoài phạm vi: thử thêm analyte không liên quan</t>
  </si>
  <si>
    <t>Bài báo mất focus, reviewer đánh giá thấp</t>
  </si>
  <si>
    <t>Bám sát Pb²⁺/Cd²⁺ + DA; chỉ mở rộng khi có dữ liệu đủ chắc</t>
  </si>
  <si>
    <t>TÀI LIỆU THAM KHẢO CHỌN LỌC – XU HƯỚNG VÀ ĐIỂM NHẤN (2020–2025)</t>
  </si>
  <si>
    <t>Tác giả / Năm</t>
  </si>
  <si>
    <t>Tiêu đề (rút gọn)</t>
  </si>
  <si>
    <t>Tạp chí</t>
  </si>
  <si>
    <t>IF</t>
  </si>
  <si>
    <t>Điểm nổi bật / Liên quan</t>
  </si>
  <si>
    <t>Liên quan đến nội dung nào</t>
  </si>
  <si>
    <t>R1</t>
  </si>
  <si>
    <t>Liu et al. 2023</t>
  </si>
  <si>
    <t>N-doped carbon aerogel from bamboo for simultaneous Pb²⁺/Cd²⁺ detection</t>
  </si>
  <si>
    <t>Sensors Actuators B</t>
  </si>
  <si>
    <t>8.9</t>
  </si>
  <si>
    <t>Cùng cấu trúc aerogel nhưng từ bamboo; LOD Pb=0.03ppb → cần vượt qua</t>
  </si>
  <si>
    <t>Bài P1, so sánh Table</t>
  </si>
  <si>
    <t>R2</t>
  </si>
  <si>
    <t>Zhang et al. 2022</t>
  </si>
  <si>
    <t>Fe-N co-doped porous carbon from biomass for dopamine sensing</t>
  </si>
  <si>
    <t>Analytical Chemistry</t>
  </si>
  <si>
    <t>8.0</t>
  </si>
  <si>
    <t>Fe-N-C mechanism giải thích qua DFT; pyridinic-N là vị trí hoạt động</t>
  </si>
  <si>
    <t>Bài P2, cơ chế</t>
  </si>
  <si>
    <t>R3</t>
  </si>
  <si>
    <t>Wang et al. 2021</t>
  </si>
  <si>
    <t>Ambient pressure drying with TMCS for silica aerogel</t>
  </si>
  <si>
    <t>J. Non-Cryst. Solids</t>
  </si>
  <si>
    <t>3.2</t>
  </si>
  <si>
    <t>Tài liệu kỹ thuật TMCS surface modification → áp dụng cho cellulose CA</t>
  </si>
  <si>
    <t>GĐ3 quy trình</t>
  </si>
  <si>
    <t>R4</t>
  </si>
  <si>
    <t>Zhu et al. 2024</t>
  </si>
  <si>
    <t>Coconut coir-derived carbon for energy storage</t>
  </si>
  <si>
    <t>ACS Sustainable Chem.</t>
  </si>
  <si>
    <t>9.1</t>
  </si>
  <si>
    <t>Dùng xơ dừa → đây là bài ít nhất; cần cite và differentiate</t>
  </si>
  <si>
    <t>Novelty, P1</t>
  </si>
  <si>
    <t>R5</t>
  </si>
  <si>
    <t>Chen et al. 2023</t>
  </si>
  <si>
    <t>Simultaneous detection of heavy metals and neurotransmitters</t>
  </si>
  <si>
    <t>ACS Appl. Mater.</t>
  </si>
  <si>
    <t>9.5</t>
  </si>
  <si>
    <t>Dual detection Pb²⁺ + DA → tham khảo chiến lược thế CV/DPV</t>
  </si>
  <si>
    <t>Bài P3</t>
  </si>
  <si>
    <t>R6</t>
  </si>
  <si>
    <t>Ding et al. 2022</t>
  </si>
  <si>
    <t>Electrochemical sensors based on porous carbon materials: review</t>
  </si>
  <si>
    <t>Chem. Rev.</t>
  </si>
  <si>
    <t>72.1</t>
  </si>
  <si>
    <t>Review toàn diện nhất về sensor carbon → đọc phần BET vs performance</t>
  </si>
  <si>
    <t>Background</t>
  </si>
  <si>
    <t>R7</t>
  </si>
  <si>
    <t>Nguyen et al. 2023</t>
  </si>
  <si>
    <t>Vietnamese biomass-derived carbon for electrochemical applications</t>
  </si>
  <si>
    <t>J. Electroanal. Chem.</t>
  </si>
  <si>
    <t>4.8</t>
  </si>
  <si>
    <t>Tác giả VN → đọc để biết landscape nghiên cứu trong nước</t>
  </si>
  <si>
    <t>Background VN</t>
  </si>
  <si>
    <t>R8</t>
  </si>
  <si>
    <t>ISO 5725 / IUPAC 2020</t>
  </si>
  <si>
    <t>Analytical method validation guidelines</t>
  </si>
  <si>
    <t>IUPAC Technical Report</t>
  </si>
  <si>
    <t>Chuẩn tính LOD, LOQ, repeatability → phải tuân thủ khi viết bài</t>
  </si>
  <si>
    <t>Validation, Sheet 5B</t>
  </si>
  <si>
    <t>R9</t>
  </si>
  <si>
    <t>Gao et al. 2024</t>
  </si>
  <si>
    <t>Machine learning-assisted optimization of carbon electrode preparation</t>
  </si>
  <si>
    <t>Nature Commun.</t>
  </si>
  <si>
    <t>16.6</t>
  </si>
  <si>
    <t>Xu hướng dùng ML tối ưu → cân nhắc cho bài nâng cao (P4)</t>
  </si>
  <si>
    <t>Hướng mở rộng</t>
  </si>
  <si>
    <t>R10</t>
  </si>
  <si>
    <t>WHO Water Quality Guidelines 2022</t>
  </si>
  <si>
    <t>Heavy metal limits in drinking water</t>
  </si>
  <si>
    <t>WHO</t>
  </si>
  <si>
    <t>Pb: 10 µg/L (ppb) → LOD phải &lt;1 ppb để có ý nghĩa</t>
  </si>
  <si>
    <t>Bối cảnh P1</t>
  </si>
  <si>
    <t>📈 XU HƯỚNG NGHIÊN CỨU 2024–2026 CẦN BIẾT</t>
  </si>
  <si>
    <t>1. Dual/multi-analyte detection trên 1 điện cực → tính ứng dụng cao, ít bài Q1 → ĐÂY LÀ HƯỚNG ƯU TIÊN</t>
  </si>
  <si>
    <t>2. 'Green synthesis' và 'sustainable/biomass' là keyword hot → xơ dừa VN = lợi thế địa phương</t>
  </si>
  <si>
    <t>3. DFT calculation kết hợp thực nghiệm → tăng impact; nhiều tạp chí Q1 yêu cầu cơ chế tính toán</t>
  </si>
  <si>
    <t>4. Wearable &amp; portable sensor (không phải lab) đang được quan tâm → nếu kết hợp với smartphone = tăng hạng</t>
  </si>
  <si>
    <t>5. Machine learning for sensor optimization → xu hướng 2025–2026; khó nhưng IF rất cao</t>
  </si>
  <si>
    <t>6. Real sample testing trong môi trường thực (nước sông Mekong, nước biển VN) → tăng tính ứng dụng địa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</si>
</sst>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8"/>
      <color rgb="FFC00000"/>
      <name val="Arial"/>
      <charset val="1"/>
    </font>
    <font>
      <sz val="8"/>
      <color rgb="FF000000"/>
      <name val="Arial"/>
      <charset val="1"/>
    </font>
    <font>
      <b/>
      <sz val="9"/>
      <color rgb="FFC00000"/>
      <name val="Arial"/>
      <charset val="1"/>
    </font>
    <font>
      <b/>
      <sz val="8"/>
      <color rgb="FF843C0C"/>
      <name val="Arial"/>
      <charset val="1"/>
    </font>
    <font>
      <b/>
      <sz val="13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sz val="9"/>
      <color rgb="FF843C0C"/>
      <name val="Arial"/>
      <charset val="1"/>
    </font>
    <font>
      <sz val="9"/>
      <color rgb="FFC0000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70C0"/>
      </patternFill>
    </fill>
    <fill>
      <patternFill patternType="solid">
        <fgColor rgb="FFBDD7EE"/>
        <bgColor rgb="FFD6E4F0"/>
      </patternFill>
    </fill>
    <fill>
      <patternFill patternType="solid">
        <fgColor rgb="FFD6E4F0"/>
        <bgColor rgb="FFD6EAF8"/>
      </patternFill>
    </fill>
    <fill>
      <patternFill patternType="solid">
        <fgColor rgb="FFF4B942"/>
        <bgColor rgb="FFFFD700"/>
      </patternFill>
    </fill>
    <fill>
      <patternFill patternType="solid">
        <fgColor rgb="FFFFF2CC"/>
        <bgColor rgb="FFFDEBD0"/>
      </patternFill>
    </fill>
    <fill>
      <patternFill patternType="solid">
        <fgColor rgb="FF375623"/>
        <bgColor rgb="FF385723"/>
      </patternFill>
    </fill>
    <fill>
      <patternFill patternType="solid">
        <fgColor rgb="FFE2EFDA"/>
        <bgColor rgb="FFE8F8E8"/>
      </patternFill>
    </fill>
    <fill>
      <patternFill patternType="solid">
        <fgColor rgb="FFEBF5FB"/>
        <bgColor rgb="FFE8F4FD"/>
      </patternFill>
    </fill>
    <fill>
      <patternFill patternType="solid">
        <fgColor rgb="FFFFFDE7"/>
        <bgColor rgb="FFFFF9E6"/>
      </patternFill>
    </fill>
    <fill>
      <patternFill patternType="solid">
        <fgColor rgb="FFE8F8E8"/>
        <bgColor rgb="FFF0FAF0"/>
      </patternFill>
    </fill>
    <fill>
      <patternFill patternType="solid">
        <fgColor rgb="FFF8F8F8"/>
        <bgColor rgb="FFF8F9FA"/>
      </patternFill>
    </fill>
    <fill>
      <patternFill patternType="solid">
        <fgColor rgb="FFD6EAF8"/>
        <bgColor rgb="FFD6E4F0"/>
      </patternFill>
    </fill>
    <fill>
      <patternFill patternType="solid">
        <fgColor rgb="FFFCE4D6"/>
        <bgColor rgb="FFFDEBD0"/>
      </patternFill>
    </fill>
    <fill>
      <patternFill patternType="solid">
        <fgColor rgb="FFFFF9E6"/>
        <bgColor rgb="FFFFFDE7"/>
      </patternFill>
    </fill>
    <fill>
      <patternFill patternType="solid">
        <fgColor rgb="FFFDEBD0"/>
        <bgColor rgb="FFFFF2CC"/>
      </patternFill>
    </fill>
    <fill>
      <patternFill patternType="solid">
        <fgColor rgb="FFE8DAEF"/>
        <bgColor rgb="FFD6E4F0"/>
      </patternFill>
    </fill>
    <fill>
      <patternFill patternType="solid">
        <fgColor rgb="FFD5F5E3"/>
        <bgColor rgb="FFE2EFDA"/>
      </patternFill>
    </fill>
    <fill>
      <patternFill patternType="solid">
        <fgColor rgb="FFFDEDEC"/>
        <bgColor rgb="FFFDE8E8"/>
      </patternFill>
    </fill>
    <fill>
      <patternFill patternType="solid">
        <fgColor rgb="FFF0F8FF"/>
        <bgColor rgb="FFEBF5FB"/>
      </patternFill>
    </fill>
    <fill>
      <patternFill patternType="solid">
        <fgColor rgb="FFFAFAFA"/>
        <bgColor rgb="FFF8F9FA"/>
      </patternFill>
    </fill>
    <fill>
      <patternFill patternType="solid">
        <fgColor rgb="FFFFFFFF"/>
        <bgColor rgb="FFFAFCFF"/>
      </patternFill>
    </fill>
    <fill>
      <patternFill patternType="solid">
        <fgColor rgb="FFFAFCFF"/>
        <bgColor rgb="FFFAFAFA"/>
      </patternFill>
    </fill>
    <fill>
      <patternFill patternType="solid">
        <fgColor rgb="FFF8F9FA"/>
        <bgColor rgb="FFF8F8F8"/>
      </patternFill>
    </fill>
    <fill>
      <patternFill patternType="solid">
        <fgColor rgb="FFFDE8E8"/>
        <bgColor rgb="FFFDEDEC"/>
      </patternFill>
    </fill>
    <fill>
      <patternFill patternType="solid">
        <fgColor rgb="FFFDF2F8"/>
        <bgColor rgb="FFF5EEF8"/>
      </patternFill>
    </fill>
    <fill>
      <patternFill patternType="solid">
        <fgColor rgb="FFFFD700"/>
        <bgColor rgb="FFF4B942"/>
      </patternFill>
    </fill>
    <fill>
      <patternFill patternType="solid">
        <fgColor rgb="FFC00000"/>
        <bgColor rgb="FFFF0000"/>
      </patternFill>
    </fill>
    <fill>
      <patternFill patternType="solid">
        <fgColor rgb="FF843C0C"/>
        <bgColor rgb="FF833C00"/>
      </patternFill>
    </fill>
    <fill>
      <patternFill patternType="solid">
        <fgColor rgb="FFE8F4FD"/>
        <bgColor rgb="FFEBF5FB"/>
      </patternFill>
    </fill>
    <fill>
      <patternFill patternType="solid">
        <fgColor rgb="FFF5EEF8"/>
        <bgColor rgb="FFFDF2F8"/>
      </patternFill>
    </fill>
    <fill>
      <patternFill patternType="solid">
        <fgColor rgb="FFF0FAF0"/>
        <bgColor rgb="FFF0F8FF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6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8" fillId="23" borderId="1" xfId="0" applyFont="1" applyFill="1" applyBorder="1" applyAlignment="1">
      <alignment horizontal="center" vertical="center" wrapText="1"/>
    </xf>
    <xf numFmtId="0" fontId="8" fillId="24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left" vertical="center" wrapText="1"/>
    </xf>
    <xf numFmtId="0" fontId="8" fillId="24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center" vertical="center" wrapText="1"/>
    </xf>
    <xf numFmtId="0" fontId="7" fillId="25" borderId="1" xfId="0" applyFont="1" applyFill="1" applyBorder="1" applyAlignment="1">
      <alignment horizontal="left" vertical="center" wrapText="1"/>
    </xf>
    <xf numFmtId="0" fontId="8" fillId="25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7" fillId="23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8" fillId="26" borderId="1" xfId="0" applyFont="1" applyFill="1" applyBorder="1" applyAlignment="1">
      <alignment horizontal="left" vertical="center" wrapText="1"/>
    </xf>
    <xf numFmtId="0" fontId="7" fillId="27" borderId="1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vertical="center" wrapText="1"/>
    </xf>
    <xf numFmtId="0" fontId="8" fillId="22" borderId="1" xfId="0" applyFont="1" applyFill="1" applyBorder="1" applyAlignment="1">
      <alignment horizontal="right" vertical="center" wrapText="1"/>
    </xf>
    <xf numFmtId="0" fontId="8" fillId="16" borderId="1" xfId="0" applyFont="1" applyFill="1" applyBorder="1" applyAlignment="1">
      <alignment horizontal="right" vertical="center" wrapText="1"/>
    </xf>
    <xf numFmtId="0" fontId="8" fillId="12" borderId="1" xfId="0" applyFont="1" applyFill="1" applyBorder="1" applyAlignment="1">
      <alignment horizontal="right" vertical="center" wrapText="1"/>
    </xf>
    <xf numFmtId="0" fontId="8" fillId="21" borderId="1" xfId="0" applyFont="1" applyFill="1" applyBorder="1" applyAlignment="1">
      <alignment horizontal="right" vertical="center" wrapText="1"/>
    </xf>
    <xf numFmtId="0" fontId="16" fillId="28" borderId="1" xfId="0" applyFont="1" applyFill="1" applyBorder="1" applyAlignment="1">
      <alignment horizontal="right" vertical="center" wrapText="1"/>
    </xf>
    <xf numFmtId="0" fontId="15" fillId="30" borderId="1" xfId="0" applyFont="1" applyFill="1" applyBorder="1" applyAlignment="1">
      <alignment horizontal="center" vertical="center" wrapText="1"/>
    </xf>
    <xf numFmtId="0" fontId="18" fillId="26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3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19" borderId="4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7" fillId="20" borderId="4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left" vertical="center" wrapText="1"/>
    </xf>
    <xf numFmtId="0" fontId="15" fillId="2" borderId="1" xfId="0" applyFont="1" applyFill="1" applyBorder="1" applyAlignment="1">
      <alignment horizontal="right" vertical="center" wrapText="1"/>
    </xf>
    <xf numFmtId="0" fontId="2" fillId="29" borderId="0" xfId="0" applyFont="1" applyFill="1" applyAlignment="1">
      <alignment horizontal="center" vertical="center" wrapText="1"/>
    </xf>
    <xf numFmtId="0" fontId="13" fillId="29" borderId="0" xfId="0" applyFont="1" applyFill="1" applyAlignment="1">
      <alignment horizontal="center" vertical="center" wrapText="1"/>
    </xf>
    <xf numFmtId="0" fontId="4" fillId="33" borderId="1" xfId="0" applyFont="1" applyFill="1" applyBorder="1" applyAlignment="1">
      <alignment horizontal="left" vertical="center" wrapText="1"/>
    </xf>
    <xf numFmtId="0" fontId="3" fillId="3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BD0"/>
      <rgbColor rgb="FFFF00FF"/>
      <rgbColor rgb="FFF0F8FF"/>
      <rgbColor rgb="FFC00000"/>
      <rgbColor rgb="FF008000"/>
      <rgbColor rgb="FF000080"/>
      <rgbColor rgb="FFFAFCFF"/>
      <rgbColor rgb="FF800080"/>
      <rgbColor rgb="FF008080"/>
      <rgbColor rgb="FFBFBFBF"/>
      <rgbColor rgb="FFFDF2F8"/>
      <rgbColor rgb="FFF5EEF8"/>
      <rgbColor rgb="FF7030A0"/>
      <rgbColor rgb="FFFFFDE7"/>
      <rgbColor rgb="FFD6EAF8"/>
      <rgbColor rgb="FF660066"/>
      <rgbColor rgb="FFFDEDEC"/>
      <rgbColor rgb="FF0070C0"/>
      <rgbColor rgb="FFBDD7EE"/>
      <rgbColor rgb="FF000080"/>
      <rgbColor rgb="FFFF00FF"/>
      <rgbColor rgb="FFE2EFDA"/>
      <rgbColor rgb="FFF8F9FA"/>
      <rgbColor rgb="FF800080"/>
      <rgbColor rgb="FF800000"/>
      <rgbColor rgb="FF008080"/>
      <rgbColor rgb="FF0000FF"/>
      <rgbColor rgb="FFFAFAFA"/>
      <rgbColor rgb="FFE8F4FD"/>
      <rgbColor rgb="FFD5F5E3"/>
      <rgbColor rgb="FFFFF2CC"/>
      <rgbColor rgb="FFD6E4F0"/>
      <rgbColor rgb="FFFDE8E8"/>
      <rgbColor rgb="FFE8DAEF"/>
      <rgbColor rgb="FFFCE4D6"/>
      <rgbColor rgb="FF2E75B6"/>
      <rgbColor rgb="FFEBF5FB"/>
      <rgbColor rgb="FFF0FAF0"/>
      <rgbColor rgb="FFFFD700"/>
      <rgbColor rgb="FFF4B942"/>
      <rgbColor rgb="FFFFF9E6"/>
      <rgbColor rgb="FF666699"/>
      <rgbColor rgb="FFE8F8E8"/>
      <rgbColor rgb="FF003366"/>
      <rgbColor rgb="FFF8F8F8"/>
      <rgbColor rgb="FF003300"/>
      <rgbColor rgb="FF385723"/>
      <rgbColor rgb="FF833C00"/>
      <rgbColor rgb="FF843C0C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A1:H22"/>
  <sheetViews>
    <sheetView showGridLines="0"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18" customWidth="1"/>
    <col min="2" max="2" width="20" customWidth="1"/>
    <col min="3" max="3" width="18" customWidth="1"/>
    <col min="4" max="8" width="16" customWidth="1"/>
  </cols>
  <sheetData>
    <row r="1" spans="1:8" ht="39.75" customHeight="1" x14ac:dyDescent="0.3">
      <c r="A1" s="67" t="s">
        <v>0</v>
      </c>
      <c r="B1" s="67"/>
      <c r="C1" s="67"/>
      <c r="D1" s="67"/>
      <c r="E1" s="67"/>
      <c r="F1" s="67"/>
      <c r="G1" s="67"/>
      <c r="H1" s="67"/>
    </row>
    <row r="2" spans="1:8" ht="19.5" customHeight="1" x14ac:dyDescent="0.3"/>
    <row r="3" spans="1:8" ht="15" customHeight="1" x14ac:dyDescent="0.3">
      <c r="A3" s="66" t="s">
        <v>1</v>
      </c>
      <c r="B3" s="66"/>
      <c r="C3" s="66"/>
      <c r="D3" s="66"/>
      <c r="E3" s="66"/>
      <c r="F3" s="66"/>
      <c r="G3" s="66"/>
      <c r="H3" s="66"/>
    </row>
    <row r="4" spans="1:8" ht="15" customHeight="1" x14ac:dyDescent="0.3">
      <c r="A4" s="1" t="s">
        <v>2</v>
      </c>
      <c r="B4" s="65" t="s">
        <v>3</v>
      </c>
      <c r="C4" s="65"/>
      <c r="D4" s="65"/>
      <c r="E4" s="65"/>
      <c r="F4" s="65"/>
      <c r="G4" s="65"/>
      <c r="H4" s="65"/>
    </row>
    <row r="5" spans="1:8" ht="15" customHeight="1" x14ac:dyDescent="0.3">
      <c r="A5" s="1" t="s">
        <v>4</v>
      </c>
      <c r="B5" s="65" t="s">
        <v>5</v>
      </c>
      <c r="C5" s="65"/>
      <c r="D5" s="65"/>
      <c r="E5" s="65"/>
      <c r="F5" s="65"/>
      <c r="G5" s="65"/>
      <c r="H5" s="65"/>
    </row>
    <row r="6" spans="1:8" ht="15" customHeight="1" x14ac:dyDescent="0.3">
      <c r="A6" s="1" t="s">
        <v>6</v>
      </c>
      <c r="B6" s="65" t="s">
        <v>7</v>
      </c>
      <c r="C6" s="65"/>
      <c r="D6" s="65"/>
      <c r="E6" s="65"/>
      <c r="F6" s="65"/>
      <c r="G6" s="65"/>
      <c r="H6" s="65"/>
    </row>
    <row r="7" spans="1:8" ht="15" customHeight="1" x14ac:dyDescent="0.3">
      <c r="A7" s="1" t="s">
        <v>8</v>
      </c>
      <c r="B7" s="65" t="s">
        <v>9</v>
      </c>
      <c r="C7" s="65"/>
      <c r="D7" s="65"/>
      <c r="E7" s="65"/>
      <c r="F7" s="65"/>
      <c r="G7" s="65"/>
      <c r="H7" s="65"/>
    </row>
    <row r="8" spans="1:8" ht="15" customHeight="1" x14ac:dyDescent="0.3">
      <c r="A8" s="1" t="s">
        <v>10</v>
      </c>
      <c r="B8" s="65" t="s">
        <v>11</v>
      </c>
      <c r="C8" s="65"/>
      <c r="D8" s="65"/>
      <c r="E8" s="65"/>
      <c r="F8" s="65"/>
      <c r="G8" s="65"/>
      <c r="H8" s="65"/>
    </row>
    <row r="9" spans="1:8" ht="15" customHeight="1" x14ac:dyDescent="0.3">
      <c r="A9" s="2"/>
      <c r="B9" s="2"/>
      <c r="C9" s="2"/>
      <c r="D9" s="2"/>
      <c r="E9" s="2"/>
      <c r="F9" s="2"/>
      <c r="G9" s="2"/>
      <c r="H9" s="2"/>
    </row>
    <row r="10" spans="1:8" ht="15" customHeight="1" x14ac:dyDescent="0.3">
      <c r="A10" s="66" t="s">
        <v>12</v>
      </c>
      <c r="B10" s="66"/>
      <c r="C10" s="66"/>
      <c r="D10" s="66"/>
      <c r="E10" s="66"/>
      <c r="F10" s="66"/>
      <c r="G10" s="66"/>
      <c r="H10" s="66"/>
    </row>
    <row r="11" spans="1:8" ht="34.5" customHeight="1" x14ac:dyDescent="0.3">
      <c r="A11" s="3" t="s">
        <v>13</v>
      </c>
      <c r="B11" s="63" t="s">
        <v>14</v>
      </c>
      <c r="C11" s="63"/>
      <c r="D11" s="63"/>
      <c r="E11" s="63"/>
      <c r="F11" s="63"/>
      <c r="G11" s="63"/>
      <c r="H11" s="63"/>
    </row>
    <row r="12" spans="1:8" ht="34.5" customHeight="1" x14ac:dyDescent="0.3">
      <c r="A12" s="3" t="s">
        <v>15</v>
      </c>
      <c r="B12" s="63" t="s">
        <v>16</v>
      </c>
      <c r="C12" s="63"/>
      <c r="D12" s="63"/>
      <c r="E12" s="63"/>
      <c r="F12" s="63"/>
      <c r="G12" s="63"/>
      <c r="H12" s="63"/>
    </row>
    <row r="13" spans="1:8" ht="34.5" customHeight="1" x14ac:dyDescent="0.3">
      <c r="A13" s="3" t="s">
        <v>17</v>
      </c>
      <c r="B13" s="63" t="s">
        <v>18</v>
      </c>
      <c r="C13" s="63"/>
      <c r="D13" s="63"/>
      <c r="E13" s="63"/>
      <c r="F13" s="63"/>
      <c r="G13" s="63"/>
      <c r="H13" s="63"/>
    </row>
    <row r="14" spans="1:8" ht="34.5" customHeight="1" x14ac:dyDescent="0.3">
      <c r="A14" s="3" t="s">
        <v>19</v>
      </c>
      <c r="B14" s="63" t="s">
        <v>20</v>
      </c>
      <c r="C14" s="63"/>
      <c r="D14" s="63"/>
      <c r="E14" s="63"/>
      <c r="F14" s="63"/>
      <c r="G14" s="63"/>
      <c r="H14" s="63"/>
    </row>
    <row r="15" spans="1:8" ht="34.5" customHeight="1" x14ac:dyDescent="0.3">
      <c r="A15" s="3" t="s">
        <v>21</v>
      </c>
      <c r="B15" s="63" t="s">
        <v>22</v>
      </c>
      <c r="C15" s="63"/>
      <c r="D15" s="63"/>
      <c r="E15" s="63"/>
      <c r="F15" s="63"/>
      <c r="G15" s="63"/>
      <c r="H15" s="63"/>
    </row>
    <row r="16" spans="1:8" ht="15" customHeight="1" x14ac:dyDescent="0.3">
      <c r="A16" s="2"/>
      <c r="B16" s="2"/>
      <c r="C16" s="2"/>
      <c r="D16" s="2"/>
      <c r="E16" s="2"/>
      <c r="F16" s="2"/>
      <c r="G16" s="2"/>
      <c r="H16" s="2"/>
    </row>
    <row r="17" spans="1:8" ht="15" customHeight="1" x14ac:dyDescent="0.3">
      <c r="A17" s="64" t="s">
        <v>23</v>
      </c>
      <c r="B17" s="64"/>
      <c r="C17" s="64"/>
      <c r="D17" s="64"/>
      <c r="E17" s="64"/>
      <c r="F17" s="64"/>
      <c r="G17" s="64"/>
      <c r="H17" s="64"/>
    </row>
    <row r="18" spans="1:8" ht="15" customHeight="1" x14ac:dyDescent="0.3">
      <c r="A18" s="4" t="s">
        <v>24</v>
      </c>
      <c r="B18" s="62" t="s">
        <v>25</v>
      </c>
      <c r="C18" s="62"/>
      <c r="D18" s="62"/>
      <c r="E18" s="62"/>
      <c r="F18" s="62"/>
      <c r="G18" s="62"/>
      <c r="H18" s="62"/>
    </row>
    <row r="19" spans="1:8" ht="15" customHeight="1" x14ac:dyDescent="0.3">
      <c r="A19" s="4" t="s">
        <v>26</v>
      </c>
      <c r="B19" s="62" t="s">
        <v>27</v>
      </c>
      <c r="C19" s="62"/>
      <c r="D19" s="62"/>
      <c r="E19" s="62"/>
      <c r="F19" s="62"/>
      <c r="G19" s="62"/>
      <c r="H19" s="62"/>
    </row>
    <row r="20" spans="1:8" ht="15" customHeight="1" x14ac:dyDescent="0.3">
      <c r="A20" s="4" t="s">
        <v>28</v>
      </c>
      <c r="B20" s="62" t="s">
        <v>29</v>
      </c>
      <c r="C20" s="62"/>
      <c r="D20" s="62"/>
      <c r="E20" s="62"/>
      <c r="F20" s="62"/>
      <c r="G20" s="62"/>
      <c r="H20" s="62"/>
    </row>
    <row r="21" spans="1:8" ht="15" customHeight="1" x14ac:dyDescent="0.3">
      <c r="A21" s="4" t="s">
        <v>30</v>
      </c>
      <c r="B21" s="62" t="s">
        <v>31</v>
      </c>
      <c r="C21" s="62"/>
      <c r="D21" s="62"/>
      <c r="E21" s="62"/>
      <c r="F21" s="62"/>
      <c r="G21" s="62"/>
      <c r="H21" s="62"/>
    </row>
    <row r="22" spans="1:8" ht="15" customHeight="1" x14ac:dyDescent="0.3">
      <c r="A22" s="4" t="s">
        <v>32</v>
      </c>
      <c r="B22" s="62" t="s">
        <v>33</v>
      </c>
      <c r="C22" s="62"/>
      <c r="D22" s="62"/>
      <c r="E22" s="62"/>
      <c r="F22" s="62"/>
      <c r="G22" s="62"/>
      <c r="H22" s="62"/>
    </row>
  </sheetData>
  <mergeCells count="19">
    <mergeCell ref="A1:H1"/>
    <mergeCell ref="A3:H3"/>
    <mergeCell ref="B4:H4"/>
    <mergeCell ref="B5:H5"/>
    <mergeCell ref="B6:H6"/>
    <mergeCell ref="B7:H7"/>
    <mergeCell ref="B8:H8"/>
    <mergeCell ref="A10:H10"/>
    <mergeCell ref="B11:H11"/>
    <mergeCell ref="B12:H12"/>
    <mergeCell ref="B19:H19"/>
    <mergeCell ref="B20:H20"/>
    <mergeCell ref="B21:H21"/>
    <mergeCell ref="B22:H22"/>
    <mergeCell ref="B13:H13"/>
    <mergeCell ref="B14:H14"/>
    <mergeCell ref="B15:H15"/>
    <mergeCell ref="A17:H17"/>
    <mergeCell ref="B18:H18"/>
  </mergeCells>
  <pageMargins left="0.25" right="0.25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  <pageSetUpPr fitToPage="1"/>
  </sheetPr>
  <dimension ref="A1:J25"/>
  <sheetViews>
    <sheetView showGridLines="0" zoomScaleNormal="100" workbookViewId="0">
      <pane ySplit="2" topLeftCell="A3" activePane="bottomLeft" state="frozen"/>
      <selection pane="bottomLeft" activeCell="E12" sqref="E12:I12"/>
    </sheetView>
  </sheetViews>
  <sheetFormatPr defaultColWidth="8.6640625" defaultRowHeight="14.4" x14ac:dyDescent="0.3"/>
  <cols>
    <col min="1" max="1" width="14" customWidth="1"/>
    <col min="2" max="2" width="6" customWidth="1"/>
    <col min="3" max="3" width="17.88671875" customWidth="1"/>
    <col min="4" max="4" width="14" customWidth="1"/>
    <col min="5" max="5" width="41.44140625" customWidth="1"/>
    <col min="6" max="6" width="17.21875" customWidth="1"/>
    <col min="7" max="7" width="24" customWidth="1"/>
    <col min="8" max="8" width="8" customWidth="1"/>
    <col min="9" max="9" width="36" customWidth="1"/>
    <col min="10" max="10" width="28" customWidth="1"/>
  </cols>
  <sheetData>
    <row r="1" spans="1:10" ht="34.5" customHeight="1" x14ac:dyDescent="0.3">
      <c r="A1" s="68" t="s">
        <v>34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3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</row>
    <row r="3" spans="1:10" ht="49.5" customHeight="1" x14ac:dyDescent="0.3">
      <c r="A3" s="76" t="s">
        <v>45</v>
      </c>
      <c r="B3" s="7" t="s">
        <v>46</v>
      </c>
      <c r="C3" s="8" t="s">
        <v>47</v>
      </c>
      <c r="D3" s="8" t="s">
        <v>48</v>
      </c>
      <c r="E3" s="9" t="s">
        <v>49</v>
      </c>
      <c r="F3" s="8" t="s">
        <v>50</v>
      </c>
      <c r="G3" s="10" t="s">
        <v>51</v>
      </c>
      <c r="H3" s="11" t="s">
        <v>52</v>
      </c>
      <c r="I3" s="12" t="s">
        <v>53</v>
      </c>
      <c r="J3" s="13" t="s">
        <v>54</v>
      </c>
    </row>
    <row r="4" spans="1:10" ht="49.5" customHeight="1" x14ac:dyDescent="0.3">
      <c r="A4" s="77"/>
      <c r="B4" s="7" t="s">
        <v>55</v>
      </c>
      <c r="C4" s="8" t="s">
        <v>56</v>
      </c>
      <c r="D4" s="8" t="s">
        <v>57</v>
      </c>
      <c r="E4" s="9" t="s">
        <v>58</v>
      </c>
      <c r="F4" s="8" t="s">
        <v>59</v>
      </c>
      <c r="G4" s="10" t="s">
        <v>60</v>
      </c>
      <c r="H4" s="11" t="s">
        <v>61</v>
      </c>
      <c r="I4" s="12" t="s">
        <v>62</v>
      </c>
      <c r="J4" s="13" t="s">
        <v>63</v>
      </c>
    </row>
    <row r="5" spans="1:10" ht="49.5" customHeight="1" x14ac:dyDescent="0.3">
      <c r="A5" s="77"/>
      <c r="B5" s="7" t="s">
        <v>64</v>
      </c>
      <c r="C5" s="8" t="s">
        <v>65</v>
      </c>
      <c r="D5" s="58" t="s">
        <v>66</v>
      </c>
      <c r="E5" s="59" t="s">
        <v>66</v>
      </c>
      <c r="F5" s="8" t="s">
        <v>67</v>
      </c>
      <c r="G5" s="10" t="s">
        <v>68</v>
      </c>
      <c r="H5" s="11" t="s">
        <v>69</v>
      </c>
      <c r="I5" s="14" t="s">
        <v>70</v>
      </c>
      <c r="J5" s="13" t="s">
        <v>71</v>
      </c>
    </row>
    <row r="6" spans="1:10" ht="49.5" customHeight="1" x14ac:dyDescent="0.3">
      <c r="A6" s="78"/>
      <c r="B6" s="7" t="s">
        <v>72</v>
      </c>
      <c r="C6" s="8" t="s">
        <v>73</v>
      </c>
      <c r="D6" s="58" t="s">
        <v>66</v>
      </c>
      <c r="E6" s="59" t="s">
        <v>66</v>
      </c>
      <c r="F6" s="8" t="s">
        <v>74</v>
      </c>
      <c r="G6" s="10" t="s">
        <v>75</v>
      </c>
      <c r="H6" s="11" t="s">
        <v>76</v>
      </c>
      <c r="I6" s="14" t="s">
        <v>77</v>
      </c>
      <c r="J6" s="13" t="s">
        <v>78</v>
      </c>
    </row>
    <row r="7" spans="1:10" ht="63.6" customHeight="1" x14ac:dyDescent="0.3">
      <c r="A7" s="73" t="s">
        <v>79</v>
      </c>
      <c r="B7" s="7" t="s">
        <v>80</v>
      </c>
      <c r="C7" s="8" t="s">
        <v>81</v>
      </c>
      <c r="D7" s="8" t="s">
        <v>82</v>
      </c>
      <c r="E7" s="9" t="s">
        <v>83</v>
      </c>
      <c r="F7" s="8" t="s">
        <v>84</v>
      </c>
      <c r="G7" s="10" t="s">
        <v>85</v>
      </c>
      <c r="H7" s="11" t="s">
        <v>86</v>
      </c>
      <c r="I7" s="12" t="s">
        <v>87</v>
      </c>
      <c r="J7" s="13" t="s">
        <v>88</v>
      </c>
    </row>
    <row r="8" spans="1:10" ht="49.5" customHeight="1" x14ac:dyDescent="0.3">
      <c r="A8" s="74"/>
      <c r="B8" s="7" t="s">
        <v>89</v>
      </c>
      <c r="C8" s="8" t="s">
        <v>90</v>
      </c>
      <c r="D8" s="8" t="s">
        <v>91</v>
      </c>
      <c r="E8" s="9" t="s">
        <v>92</v>
      </c>
      <c r="F8" s="8" t="s">
        <v>93</v>
      </c>
      <c r="G8" s="10" t="s">
        <v>94</v>
      </c>
      <c r="H8" s="11" t="s">
        <v>95</v>
      </c>
      <c r="I8" s="12" t="s">
        <v>96</v>
      </c>
      <c r="J8" s="13" t="s">
        <v>97</v>
      </c>
    </row>
    <row r="9" spans="1:10" ht="49.5" customHeight="1" x14ac:dyDescent="0.3">
      <c r="A9" s="74"/>
      <c r="B9" s="7" t="s">
        <v>98</v>
      </c>
      <c r="C9" s="8" t="s">
        <v>99</v>
      </c>
      <c r="D9" s="8" t="s">
        <v>100</v>
      </c>
      <c r="E9" s="9" t="s">
        <v>101</v>
      </c>
      <c r="F9" s="8" t="s">
        <v>102</v>
      </c>
      <c r="G9" s="10" t="s">
        <v>103</v>
      </c>
      <c r="H9" s="11" t="s">
        <v>95</v>
      </c>
      <c r="I9" s="14" t="s">
        <v>104</v>
      </c>
      <c r="J9" s="13" t="s">
        <v>105</v>
      </c>
    </row>
    <row r="10" spans="1:10" ht="49.5" customHeight="1" x14ac:dyDescent="0.3">
      <c r="A10" s="75"/>
      <c r="B10" s="7" t="s">
        <v>106</v>
      </c>
      <c r="C10" s="8" t="s">
        <v>107</v>
      </c>
      <c r="D10" s="8" t="s">
        <v>108</v>
      </c>
      <c r="E10" s="9" t="s">
        <v>109</v>
      </c>
      <c r="F10" s="8" t="s">
        <v>110</v>
      </c>
      <c r="G10" s="10" t="s">
        <v>111</v>
      </c>
      <c r="H10" s="11" t="s">
        <v>112</v>
      </c>
      <c r="I10" s="12" t="s">
        <v>113</v>
      </c>
      <c r="J10" s="13" t="s">
        <v>114</v>
      </c>
    </row>
    <row r="11" spans="1:10" ht="49.5" customHeight="1" x14ac:dyDescent="0.3">
      <c r="A11" s="15" t="s">
        <v>115</v>
      </c>
      <c r="B11" s="7" t="s">
        <v>116</v>
      </c>
      <c r="C11" s="8" t="s">
        <v>117</v>
      </c>
      <c r="D11" s="8" t="s">
        <v>118</v>
      </c>
      <c r="E11" s="9" t="s">
        <v>119</v>
      </c>
      <c r="F11" s="8" t="s">
        <v>120</v>
      </c>
      <c r="G11" s="10" t="s">
        <v>121</v>
      </c>
      <c r="H11" s="11" t="s">
        <v>122</v>
      </c>
      <c r="I11" s="14" t="s">
        <v>123</v>
      </c>
      <c r="J11" s="13" t="s">
        <v>124</v>
      </c>
    </row>
    <row r="12" spans="1:10" ht="120" customHeight="1" x14ac:dyDescent="0.3">
      <c r="A12" s="69" t="s">
        <v>125</v>
      </c>
      <c r="B12" s="69"/>
      <c r="C12" s="70" t="s">
        <v>126</v>
      </c>
      <c r="D12" s="70"/>
      <c r="E12" s="71" t="s">
        <v>127</v>
      </c>
      <c r="F12" s="71"/>
      <c r="G12" s="71"/>
      <c r="H12" s="71"/>
      <c r="I12" s="71"/>
      <c r="J12" s="16" t="s">
        <v>128</v>
      </c>
    </row>
    <row r="13" spans="1:10" ht="49.5" customHeight="1" x14ac:dyDescent="0.3">
      <c r="A13" s="17" t="s">
        <v>129</v>
      </c>
      <c r="B13" s="7" t="s">
        <v>130</v>
      </c>
      <c r="C13" s="8" t="s">
        <v>131</v>
      </c>
      <c r="D13" s="8" t="s">
        <v>66</v>
      </c>
      <c r="E13" s="9" t="s">
        <v>66</v>
      </c>
      <c r="F13" s="8" t="s">
        <v>132</v>
      </c>
      <c r="G13" s="10" t="s">
        <v>133</v>
      </c>
      <c r="H13" s="11" t="s">
        <v>134</v>
      </c>
      <c r="I13" s="12" t="s">
        <v>135</v>
      </c>
      <c r="J13" s="13" t="s">
        <v>136</v>
      </c>
    </row>
    <row r="14" spans="1:10" ht="69.75" customHeight="1" x14ac:dyDescent="0.3">
      <c r="A14" s="79" t="s">
        <v>137</v>
      </c>
      <c r="B14" s="7" t="s">
        <v>138</v>
      </c>
      <c r="C14" s="8" t="s">
        <v>139</v>
      </c>
      <c r="D14" s="8" t="s">
        <v>140</v>
      </c>
      <c r="E14" s="9" t="s">
        <v>141</v>
      </c>
      <c r="F14" s="8" t="s">
        <v>142</v>
      </c>
      <c r="G14" s="10" t="s">
        <v>143</v>
      </c>
      <c r="H14" s="11" t="s">
        <v>144</v>
      </c>
      <c r="I14" s="12" t="s">
        <v>145</v>
      </c>
      <c r="J14" s="13" t="s">
        <v>146</v>
      </c>
    </row>
    <row r="15" spans="1:10" ht="69.75" customHeight="1" x14ac:dyDescent="0.3">
      <c r="A15" s="80"/>
      <c r="B15" s="7" t="s">
        <v>147</v>
      </c>
      <c r="C15" s="8" t="s">
        <v>148</v>
      </c>
      <c r="D15" s="8" t="s">
        <v>149</v>
      </c>
      <c r="E15" s="9" t="s">
        <v>150</v>
      </c>
      <c r="F15" s="8" t="s">
        <v>151</v>
      </c>
      <c r="G15" s="10" t="s">
        <v>152</v>
      </c>
      <c r="H15" s="11" t="s">
        <v>153</v>
      </c>
      <c r="I15" s="12" t="s">
        <v>154</v>
      </c>
      <c r="J15" s="13" t="s">
        <v>155</v>
      </c>
    </row>
    <row r="16" spans="1:10" ht="69.75" customHeight="1" x14ac:dyDescent="0.3">
      <c r="A16" s="81" t="s">
        <v>156</v>
      </c>
      <c r="B16" s="7" t="s">
        <v>157</v>
      </c>
      <c r="C16" s="18" t="s">
        <v>158</v>
      </c>
      <c r="D16" s="8" t="s">
        <v>159</v>
      </c>
      <c r="E16" s="9" t="s">
        <v>160</v>
      </c>
      <c r="F16" s="8" t="s">
        <v>161</v>
      </c>
      <c r="G16" s="10" t="s">
        <v>162</v>
      </c>
      <c r="H16" s="11" t="s">
        <v>163</v>
      </c>
      <c r="I16" s="12" t="s">
        <v>164</v>
      </c>
      <c r="J16" s="13" t="s">
        <v>165</v>
      </c>
    </row>
    <row r="17" spans="1:10" ht="69.75" customHeight="1" x14ac:dyDescent="0.3">
      <c r="A17" s="82"/>
      <c r="B17" s="7" t="s">
        <v>166</v>
      </c>
      <c r="C17" s="18" t="s">
        <v>167</v>
      </c>
      <c r="D17" s="8" t="s">
        <v>168</v>
      </c>
      <c r="E17" s="9" t="s">
        <v>169</v>
      </c>
      <c r="F17" s="8" t="s">
        <v>170</v>
      </c>
      <c r="G17" s="10" t="s">
        <v>171</v>
      </c>
      <c r="H17" s="11" t="s">
        <v>172</v>
      </c>
      <c r="I17" s="12" t="s">
        <v>173</v>
      </c>
      <c r="J17" s="13" t="s">
        <v>174</v>
      </c>
    </row>
    <row r="18" spans="1:10" ht="69.75" customHeight="1" x14ac:dyDescent="0.3">
      <c r="A18" s="83"/>
      <c r="B18" s="7" t="s">
        <v>175</v>
      </c>
      <c r="C18" s="18" t="s">
        <v>176</v>
      </c>
      <c r="D18" s="8" t="s">
        <v>177</v>
      </c>
      <c r="E18" s="9" t="s">
        <v>178</v>
      </c>
      <c r="F18" s="8" t="s">
        <v>179</v>
      </c>
      <c r="G18" s="10" t="s">
        <v>180</v>
      </c>
      <c r="H18" s="11" t="s">
        <v>181</v>
      </c>
      <c r="I18" s="12" t="s">
        <v>182</v>
      </c>
      <c r="J18" s="13" t="s">
        <v>183</v>
      </c>
    </row>
    <row r="19" spans="1:10" ht="99.75" customHeight="1" x14ac:dyDescent="0.3">
      <c r="A19" s="84" t="s">
        <v>184</v>
      </c>
      <c r="B19" s="7" t="s">
        <v>185</v>
      </c>
      <c r="C19" s="18" t="s">
        <v>186</v>
      </c>
      <c r="D19" s="8" t="s">
        <v>187</v>
      </c>
      <c r="E19" s="9" t="s">
        <v>188</v>
      </c>
      <c r="F19" s="8" t="s">
        <v>189</v>
      </c>
      <c r="G19" s="10" t="s">
        <v>190</v>
      </c>
      <c r="H19" s="11" t="s">
        <v>181</v>
      </c>
      <c r="I19" s="12" t="s">
        <v>191</v>
      </c>
      <c r="J19" s="13" t="s">
        <v>192</v>
      </c>
    </row>
    <row r="20" spans="1:10" ht="169.2" customHeight="1" x14ac:dyDescent="0.3">
      <c r="A20" s="85"/>
      <c r="B20" s="7" t="s">
        <v>193</v>
      </c>
      <c r="C20" s="18" t="s">
        <v>194</v>
      </c>
      <c r="D20" s="8" t="s">
        <v>195</v>
      </c>
      <c r="E20" s="9" t="s">
        <v>196</v>
      </c>
      <c r="F20" s="8" t="s">
        <v>197</v>
      </c>
      <c r="G20" s="10" t="s">
        <v>198</v>
      </c>
      <c r="H20" s="11" t="s">
        <v>199</v>
      </c>
      <c r="I20" s="12" t="s">
        <v>200</v>
      </c>
      <c r="J20" s="13" t="s">
        <v>201</v>
      </c>
    </row>
    <row r="21" spans="1:10" ht="155.4" customHeight="1" x14ac:dyDescent="0.3">
      <c r="A21" s="86"/>
      <c r="B21" s="7" t="s">
        <v>202</v>
      </c>
      <c r="C21" s="18" t="s">
        <v>203</v>
      </c>
      <c r="D21" s="8" t="s">
        <v>204</v>
      </c>
      <c r="E21" s="9" t="s">
        <v>205</v>
      </c>
      <c r="F21" s="8" t="s">
        <v>206</v>
      </c>
      <c r="G21" s="10" t="s">
        <v>207</v>
      </c>
      <c r="H21" s="11" t="s">
        <v>208</v>
      </c>
      <c r="I21" s="12" t="s">
        <v>209</v>
      </c>
      <c r="J21" s="13" t="s">
        <v>210</v>
      </c>
    </row>
    <row r="22" spans="1:10" ht="99.75" customHeight="1" x14ac:dyDescent="0.3">
      <c r="A22" s="87" t="s">
        <v>211</v>
      </c>
      <c r="B22" s="7" t="s">
        <v>212</v>
      </c>
      <c r="C22" s="18" t="s">
        <v>213</v>
      </c>
      <c r="D22" s="8" t="s">
        <v>214</v>
      </c>
      <c r="E22" s="9" t="s">
        <v>215</v>
      </c>
      <c r="F22" s="8" t="s">
        <v>216</v>
      </c>
      <c r="G22" s="10" t="s">
        <v>172</v>
      </c>
      <c r="H22" s="11" t="s">
        <v>172</v>
      </c>
      <c r="I22" s="12" t="s">
        <v>217</v>
      </c>
      <c r="J22" s="13" t="s">
        <v>218</v>
      </c>
    </row>
    <row r="23" spans="1:10" ht="114" customHeight="1" x14ac:dyDescent="0.3">
      <c r="A23" s="88"/>
      <c r="B23" s="7" t="s">
        <v>219</v>
      </c>
      <c r="C23" s="18" t="s">
        <v>220</v>
      </c>
      <c r="D23" s="8" t="s">
        <v>221</v>
      </c>
      <c r="E23" s="9" t="s">
        <v>222</v>
      </c>
      <c r="F23" s="8" t="s">
        <v>223</v>
      </c>
      <c r="G23" s="10" t="s">
        <v>224</v>
      </c>
      <c r="H23" s="11" t="s">
        <v>225</v>
      </c>
      <c r="I23" s="12" t="s">
        <v>226</v>
      </c>
      <c r="J23" s="13" t="s">
        <v>227</v>
      </c>
    </row>
    <row r="25" spans="1:10" ht="19.5" customHeight="1" x14ac:dyDescent="0.3">
      <c r="A25" s="72" t="s">
        <v>228</v>
      </c>
      <c r="B25" s="72"/>
      <c r="C25" s="72"/>
      <c r="D25" s="72"/>
      <c r="E25" s="72"/>
      <c r="F25" s="72"/>
      <c r="G25" s="72"/>
      <c r="H25" s="72"/>
      <c r="I25" s="72"/>
      <c r="J25" s="72"/>
    </row>
  </sheetData>
  <mergeCells count="11">
    <mergeCell ref="A1:J1"/>
    <mergeCell ref="A12:B12"/>
    <mergeCell ref="C12:D12"/>
    <mergeCell ref="E12:I12"/>
    <mergeCell ref="A25:J25"/>
    <mergeCell ref="A7:A10"/>
    <mergeCell ref="A3:A6"/>
    <mergeCell ref="A14:A15"/>
    <mergeCell ref="A16:A18"/>
    <mergeCell ref="A19:A21"/>
    <mergeCell ref="A22:A23"/>
  </mergeCells>
  <pageMargins left="0.25" right="0.25" top="0.75" bottom="0.75" header="0.3" footer="0.3"/>
  <pageSetup paperSize="9" scale="42" orientation="portrait" horizontalDpi="300" verticalDpi="300" r:id="rId1"/>
  <ignoredErrors>
    <ignoredError sqref="A3:B3 A11:B14 B8:B10 A7:B7 B4:B6 A16:B16 B15 A19:B19 B17:B18 A22:B22 B20:B21 B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  <pageSetUpPr fitToPage="1"/>
  </sheetPr>
  <dimension ref="A1:K23"/>
  <sheetViews>
    <sheetView showGridLines="0" tabSelected="1" zoomScaleNormal="100" workbookViewId="0">
      <pane ySplit="2" topLeftCell="A3" activePane="bottomLeft" state="frozen"/>
      <selection pane="bottomLeft" activeCell="B8" sqref="B8"/>
    </sheetView>
  </sheetViews>
  <sheetFormatPr defaultColWidth="8.6640625" defaultRowHeight="14.4" x14ac:dyDescent="0.3"/>
  <cols>
    <col min="1" max="1" width="8" customWidth="1"/>
    <col min="2" max="2" width="30" customWidth="1"/>
    <col min="3" max="3" width="8.77734375" customWidth="1"/>
    <col min="4" max="4" width="8.21875" customWidth="1"/>
    <col min="5" max="8" width="7" customWidth="1"/>
    <col min="9" max="9" width="20" customWidth="1"/>
    <col min="10" max="10" width="16" customWidth="1"/>
    <col min="11" max="11" width="28" customWidth="1"/>
  </cols>
  <sheetData>
    <row r="1" spans="1:11" ht="15.75" customHeight="1" x14ac:dyDescent="0.3">
      <c r="A1" s="60" t="s">
        <v>229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5" customHeight="1" x14ac:dyDescent="0.3">
      <c r="A2" s="61" t="s">
        <v>230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1" ht="32.25" customHeight="1" x14ac:dyDescent="0.3">
      <c r="A3" s="5" t="s">
        <v>231</v>
      </c>
      <c r="B3" s="5" t="s">
        <v>232</v>
      </c>
      <c r="C3" s="5" t="s">
        <v>233</v>
      </c>
      <c r="D3" s="5" t="s">
        <v>234</v>
      </c>
      <c r="E3" s="5" t="s">
        <v>235</v>
      </c>
      <c r="F3" s="5" t="s">
        <v>236</v>
      </c>
      <c r="G3" s="5" t="s">
        <v>237</v>
      </c>
      <c r="H3" s="19" t="s">
        <v>238</v>
      </c>
      <c r="I3" s="5" t="s">
        <v>239</v>
      </c>
      <c r="J3" s="5" t="s">
        <v>240</v>
      </c>
      <c r="K3" s="5" t="s">
        <v>241</v>
      </c>
    </row>
    <row r="4" spans="1:11" ht="21.75" customHeight="1" x14ac:dyDescent="0.3">
      <c r="A4" s="20" t="s">
        <v>242</v>
      </c>
      <c r="B4" s="21" t="s">
        <v>243</v>
      </c>
      <c r="C4" s="20" t="s">
        <v>244</v>
      </c>
      <c r="D4" s="20" t="s">
        <v>245</v>
      </c>
      <c r="E4" s="20" t="s">
        <v>246</v>
      </c>
      <c r="F4" s="20" t="s">
        <v>247</v>
      </c>
      <c r="G4" s="20" t="s">
        <v>30</v>
      </c>
      <c r="H4" s="22" t="s">
        <v>248</v>
      </c>
      <c r="I4" s="20" t="s">
        <v>249</v>
      </c>
      <c r="J4" s="20" t="s">
        <v>250</v>
      </c>
      <c r="K4" s="23" t="s">
        <v>251</v>
      </c>
    </row>
    <row r="5" spans="1:11" ht="21.75" customHeight="1" x14ac:dyDescent="0.3">
      <c r="A5" s="24" t="s">
        <v>252</v>
      </c>
      <c r="B5" s="25" t="s">
        <v>253</v>
      </c>
      <c r="C5" s="24" t="s">
        <v>254</v>
      </c>
      <c r="D5" s="24" t="s">
        <v>255</v>
      </c>
      <c r="E5" s="24" t="s">
        <v>256</v>
      </c>
      <c r="F5" s="24" t="s">
        <v>66</v>
      </c>
      <c r="G5" s="24" t="s">
        <v>28</v>
      </c>
      <c r="H5" s="22" t="s">
        <v>248</v>
      </c>
      <c r="I5" s="24" t="s">
        <v>249</v>
      </c>
      <c r="J5" s="24" t="s">
        <v>250</v>
      </c>
      <c r="K5" s="23" t="s">
        <v>251</v>
      </c>
    </row>
    <row r="6" spans="1:11" ht="21.75" customHeight="1" x14ac:dyDescent="0.3">
      <c r="A6" s="20" t="s">
        <v>257</v>
      </c>
      <c r="B6" s="21" t="s">
        <v>258</v>
      </c>
      <c r="C6" s="20" t="s">
        <v>26</v>
      </c>
      <c r="D6" s="20" t="s">
        <v>28</v>
      </c>
      <c r="E6" s="20" t="s">
        <v>30</v>
      </c>
      <c r="F6" s="20" t="s">
        <v>66</v>
      </c>
      <c r="G6" s="20" t="s">
        <v>28</v>
      </c>
      <c r="H6" s="22" t="s">
        <v>248</v>
      </c>
      <c r="I6" s="20" t="s">
        <v>259</v>
      </c>
      <c r="J6" s="20" t="s">
        <v>260</v>
      </c>
      <c r="K6" s="23" t="s">
        <v>261</v>
      </c>
    </row>
    <row r="7" spans="1:11" ht="21.75" customHeight="1" x14ac:dyDescent="0.3">
      <c r="A7" s="24" t="s">
        <v>262</v>
      </c>
      <c r="B7" s="25" t="s">
        <v>263</v>
      </c>
      <c r="C7" s="24" t="s">
        <v>264</v>
      </c>
      <c r="D7" s="24" t="s">
        <v>265</v>
      </c>
      <c r="E7" s="24" t="s">
        <v>66</v>
      </c>
      <c r="F7" s="24" t="s">
        <v>66</v>
      </c>
      <c r="G7" s="24" t="s">
        <v>26</v>
      </c>
      <c r="H7" s="22" t="s">
        <v>248</v>
      </c>
      <c r="I7" s="24" t="s">
        <v>266</v>
      </c>
      <c r="J7" s="24" t="s">
        <v>32</v>
      </c>
      <c r="K7" s="23" t="s">
        <v>261</v>
      </c>
    </row>
    <row r="8" spans="1:11" ht="32.25" customHeight="1" x14ac:dyDescent="0.3">
      <c r="A8" s="20" t="s">
        <v>267</v>
      </c>
      <c r="B8" s="21" t="s">
        <v>268</v>
      </c>
      <c r="C8" s="20" t="s">
        <v>269</v>
      </c>
      <c r="D8" s="20" t="s">
        <v>270</v>
      </c>
      <c r="E8" s="20" t="s">
        <v>66</v>
      </c>
      <c r="F8" s="20" t="s">
        <v>66</v>
      </c>
      <c r="G8" s="20" t="s">
        <v>26</v>
      </c>
      <c r="H8" s="22" t="s">
        <v>248</v>
      </c>
      <c r="I8" s="20" t="s">
        <v>249</v>
      </c>
      <c r="J8" s="20" t="s">
        <v>250</v>
      </c>
      <c r="K8" s="23" t="s">
        <v>261</v>
      </c>
    </row>
    <row r="9" spans="1:11" ht="32.25" customHeight="1" x14ac:dyDescent="0.3">
      <c r="A9" s="24" t="s">
        <v>271</v>
      </c>
      <c r="B9" s="25" t="s">
        <v>272</v>
      </c>
      <c r="C9" s="24" t="s">
        <v>28</v>
      </c>
      <c r="D9" s="24" t="s">
        <v>32</v>
      </c>
      <c r="E9" s="24" t="s">
        <v>273</v>
      </c>
      <c r="F9" s="24" t="s">
        <v>66</v>
      </c>
      <c r="G9" s="24" t="s">
        <v>28</v>
      </c>
      <c r="H9" s="26" t="s">
        <v>274</v>
      </c>
      <c r="I9" s="24" t="s">
        <v>275</v>
      </c>
      <c r="J9" s="24" t="s">
        <v>28</v>
      </c>
      <c r="K9" s="23" t="s">
        <v>261</v>
      </c>
    </row>
    <row r="10" spans="1:11" ht="21.75" customHeight="1" x14ac:dyDescent="0.3">
      <c r="A10" s="20" t="s">
        <v>276</v>
      </c>
      <c r="B10" s="21" t="s">
        <v>277</v>
      </c>
      <c r="C10" s="20" t="s">
        <v>26</v>
      </c>
      <c r="D10" s="20" t="s">
        <v>32</v>
      </c>
      <c r="E10" s="20" t="s">
        <v>273</v>
      </c>
      <c r="F10" s="20" t="s">
        <v>66</v>
      </c>
      <c r="G10" s="20" t="s">
        <v>28</v>
      </c>
      <c r="H10" s="22" t="s">
        <v>248</v>
      </c>
      <c r="I10" s="20" t="s">
        <v>278</v>
      </c>
      <c r="J10" s="20" t="s">
        <v>26</v>
      </c>
      <c r="K10" s="23" t="s">
        <v>251</v>
      </c>
    </row>
    <row r="11" spans="1:11" ht="21.75" customHeight="1" x14ac:dyDescent="0.3">
      <c r="A11" s="24" t="s">
        <v>279</v>
      </c>
      <c r="B11" s="25" t="s">
        <v>280</v>
      </c>
      <c r="C11" s="24" t="s">
        <v>281</v>
      </c>
      <c r="D11" s="24" t="s">
        <v>282</v>
      </c>
      <c r="E11" s="24" t="s">
        <v>283</v>
      </c>
      <c r="F11" s="24" t="s">
        <v>66</v>
      </c>
      <c r="G11" s="24" t="s">
        <v>28</v>
      </c>
      <c r="H11" s="22" t="s">
        <v>248</v>
      </c>
      <c r="I11" s="24" t="s">
        <v>284</v>
      </c>
      <c r="J11" s="24" t="s">
        <v>26</v>
      </c>
      <c r="K11" s="23" t="s">
        <v>261</v>
      </c>
    </row>
    <row r="12" spans="1:11" ht="21.75" customHeight="1" x14ac:dyDescent="0.3">
      <c r="A12" s="20" t="s">
        <v>285</v>
      </c>
      <c r="B12" s="21" t="s">
        <v>286</v>
      </c>
      <c r="C12" s="20" t="s">
        <v>287</v>
      </c>
      <c r="D12" s="20" t="s">
        <v>288</v>
      </c>
      <c r="E12" s="20" t="s">
        <v>289</v>
      </c>
      <c r="F12" s="20" t="s">
        <v>290</v>
      </c>
      <c r="G12" s="20" t="s">
        <v>30</v>
      </c>
      <c r="H12" s="22" t="s">
        <v>248</v>
      </c>
      <c r="I12" s="20" t="s">
        <v>223</v>
      </c>
      <c r="J12" s="20" t="s">
        <v>28</v>
      </c>
      <c r="K12" s="23" t="s">
        <v>251</v>
      </c>
    </row>
    <row r="13" spans="1:11" ht="21.75" customHeight="1" x14ac:dyDescent="0.3">
      <c r="A13" s="24" t="s">
        <v>291</v>
      </c>
      <c r="B13" s="25" t="s">
        <v>292</v>
      </c>
      <c r="C13" s="24" t="s">
        <v>293</v>
      </c>
      <c r="D13" s="24" t="s">
        <v>294</v>
      </c>
      <c r="E13" s="24" t="s">
        <v>295</v>
      </c>
      <c r="F13" s="24" t="s">
        <v>66</v>
      </c>
      <c r="G13" s="24" t="s">
        <v>28</v>
      </c>
      <c r="H13" s="22" t="s">
        <v>248</v>
      </c>
      <c r="I13" s="24" t="s">
        <v>223</v>
      </c>
      <c r="J13" s="24" t="s">
        <v>28</v>
      </c>
      <c r="K13" s="23" t="s">
        <v>261</v>
      </c>
    </row>
    <row r="15" spans="1:11" ht="15" customHeight="1" x14ac:dyDescent="0.3">
      <c r="A15" s="61" t="s">
        <v>296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</row>
    <row r="16" spans="1:11" ht="21.75" customHeight="1" x14ac:dyDescent="0.3">
      <c r="A16" s="27" t="s">
        <v>35</v>
      </c>
      <c r="B16" s="27" t="s">
        <v>297</v>
      </c>
      <c r="C16" s="27" t="s">
        <v>298</v>
      </c>
      <c r="D16" s="27" t="s">
        <v>299</v>
      </c>
      <c r="E16" s="27" t="s">
        <v>300</v>
      </c>
      <c r="F16" s="27" t="s">
        <v>301</v>
      </c>
      <c r="G16" s="27" t="s">
        <v>302</v>
      </c>
      <c r="H16" s="27" t="s">
        <v>303</v>
      </c>
      <c r="I16" s="27" t="s">
        <v>304</v>
      </c>
      <c r="J16" s="27" t="s">
        <v>305</v>
      </c>
      <c r="K16" s="27" t="s">
        <v>306</v>
      </c>
    </row>
    <row r="17" spans="1:11" ht="15" customHeight="1" x14ac:dyDescent="0.3">
      <c r="A17" s="28" t="s">
        <v>307</v>
      </c>
      <c r="B17" s="28" t="s">
        <v>308</v>
      </c>
      <c r="C17" s="29" t="s">
        <v>309</v>
      </c>
      <c r="D17" s="29" t="s">
        <v>309</v>
      </c>
      <c r="E17" s="30"/>
      <c r="F17" s="30"/>
      <c r="G17" s="30"/>
      <c r="H17" s="30"/>
      <c r="I17" s="28" t="s">
        <v>310</v>
      </c>
      <c r="J17" s="28" t="s">
        <v>311</v>
      </c>
      <c r="K17" s="28" t="s">
        <v>312</v>
      </c>
    </row>
    <row r="18" spans="1:11" ht="15" customHeight="1" x14ac:dyDescent="0.3">
      <c r="A18" s="21" t="s">
        <v>313</v>
      </c>
      <c r="B18" s="21" t="s">
        <v>314</v>
      </c>
      <c r="C18" s="20"/>
      <c r="D18" s="29" t="s">
        <v>309</v>
      </c>
      <c r="E18" s="29" t="s">
        <v>309</v>
      </c>
      <c r="F18" s="20"/>
      <c r="G18" s="20"/>
      <c r="H18" s="20"/>
      <c r="I18" s="21" t="s">
        <v>315</v>
      </c>
      <c r="J18" s="21" t="s">
        <v>316</v>
      </c>
      <c r="K18" s="21" t="s">
        <v>317</v>
      </c>
    </row>
    <row r="19" spans="1:11" ht="15" customHeight="1" x14ac:dyDescent="0.3">
      <c r="A19" s="28" t="s">
        <v>318</v>
      </c>
      <c r="B19" s="28" t="s">
        <v>319</v>
      </c>
      <c r="C19" s="30"/>
      <c r="D19" s="30"/>
      <c r="E19" s="29" t="s">
        <v>309</v>
      </c>
      <c r="F19" s="29" t="s">
        <v>309</v>
      </c>
      <c r="G19" s="30"/>
      <c r="H19" s="30"/>
      <c r="I19" s="28" t="s">
        <v>320</v>
      </c>
      <c r="J19" s="28" t="s">
        <v>316</v>
      </c>
      <c r="K19" s="28" t="s">
        <v>321</v>
      </c>
    </row>
    <row r="20" spans="1:11" ht="21.75" customHeight="1" x14ac:dyDescent="0.3">
      <c r="A20" s="21" t="s">
        <v>322</v>
      </c>
      <c r="B20" s="21" t="s">
        <v>323</v>
      </c>
      <c r="C20" s="20"/>
      <c r="D20" s="20"/>
      <c r="E20" s="20"/>
      <c r="F20" s="29" t="s">
        <v>309</v>
      </c>
      <c r="G20" s="29" t="s">
        <v>309</v>
      </c>
      <c r="H20" s="20"/>
      <c r="I20" s="21" t="s">
        <v>324</v>
      </c>
      <c r="J20" s="21" t="s">
        <v>325</v>
      </c>
      <c r="K20" s="21" t="s">
        <v>326</v>
      </c>
    </row>
    <row r="21" spans="1:11" ht="15" customHeight="1" x14ac:dyDescent="0.3">
      <c r="A21" s="28" t="s">
        <v>327</v>
      </c>
      <c r="B21" s="28" t="s">
        <v>328</v>
      </c>
      <c r="C21" s="30"/>
      <c r="D21" s="30"/>
      <c r="E21" s="30"/>
      <c r="F21" s="29" t="s">
        <v>309</v>
      </c>
      <c r="G21" s="29" t="s">
        <v>309</v>
      </c>
      <c r="H21" s="30"/>
      <c r="I21" s="28" t="s">
        <v>329</v>
      </c>
      <c r="J21" s="28" t="s">
        <v>311</v>
      </c>
      <c r="K21" s="28" t="s">
        <v>330</v>
      </c>
    </row>
    <row r="22" spans="1:11" ht="21.75" customHeight="1" x14ac:dyDescent="0.3">
      <c r="A22" s="21" t="s">
        <v>331</v>
      </c>
      <c r="B22" s="21" t="s">
        <v>332</v>
      </c>
      <c r="C22" s="20"/>
      <c r="D22" s="20"/>
      <c r="E22" s="20"/>
      <c r="F22" s="20"/>
      <c r="G22" s="29" t="s">
        <v>309</v>
      </c>
      <c r="H22" s="29" t="s">
        <v>309</v>
      </c>
      <c r="I22" s="21" t="s">
        <v>333</v>
      </c>
      <c r="J22" s="21" t="s">
        <v>311</v>
      </c>
      <c r="K22" s="21" t="s">
        <v>334</v>
      </c>
    </row>
    <row r="23" spans="1:11" ht="21.75" customHeight="1" x14ac:dyDescent="0.3">
      <c r="A23" s="28" t="s">
        <v>335</v>
      </c>
      <c r="B23" s="28" t="s">
        <v>336</v>
      </c>
      <c r="C23" s="30"/>
      <c r="D23" s="30"/>
      <c r="E23" s="30"/>
      <c r="F23" s="30"/>
      <c r="G23" s="30"/>
      <c r="H23" s="29" t="s">
        <v>309</v>
      </c>
      <c r="I23" s="28" t="s">
        <v>337</v>
      </c>
      <c r="J23" s="28" t="s">
        <v>325</v>
      </c>
      <c r="K23" s="28" t="s">
        <v>338</v>
      </c>
    </row>
  </sheetData>
  <mergeCells count="3">
    <mergeCell ref="A1:K1"/>
    <mergeCell ref="A2:K2"/>
    <mergeCell ref="A15:K15"/>
  </mergeCells>
  <pageMargins left="0.75" right="0.75" top="1" bottom="1" header="0.511811023622047" footer="0.511811023622047"/>
  <pageSetup paperSize="9" scale="88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J9"/>
  <sheetViews>
    <sheetView showGridLines="0" zoomScaleNormal="100" workbookViewId="0">
      <pane ySplit="2" topLeftCell="A3" activePane="bottomLeft" state="frozen"/>
      <selection pane="bottomLeft" sqref="A1:J1"/>
    </sheetView>
  </sheetViews>
  <sheetFormatPr defaultColWidth="8.6640625" defaultRowHeight="14.4" x14ac:dyDescent="0.3"/>
  <cols>
    <col min="1" max="1" width="5" customWidth="1"/>
    <col min="2" max="2" width="32" customWidth="1"/>
    <col min="3" max="3" width="22" customWidth="1"/>
    <col min="4" max="4" width="32" customWidth="1"/>
    <col min="5" max="5" width="28" customWidth="1"/>
    <col min="6" max="6" width="12" customWidth="1"/>
    <col min="7" max="7" width="8" customWidth="1"/>
    <col min="8" max="8" width="10" customWidth="1"/>
    <col min="9" max="9" width="14" customWidth="1"/>
    <col min="10" max="10" width="36" customWidth="1"/>
  </cols>
  <sheetData>
    <row r="1" spans="1:10" ht="15.75" customHeight="1" x14ac:dyDescent="0.3">
      <c r="A1" s="60" t="s">
        <v>339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ht="21.75" customHeight="1" x14ac:dyDescent="0.3">
      <c r="A2" s="5" t="s">
        <v>231</v>
      </c>
      <c r="B2" s="5" t="s">
        <v>340</v>
      </c>
      <c r="C2" s="5" t="s">
        <v>341</v>
      </c>
      <c r="D2" s="5" t="s">
        <v>342</v>
      </c>
      <c r="E2" s="5" t="s">
        <v>343</v>
      </c>
      <c r="F2" s="5" t="s">
        <v>344</v>
      </c>
      <c r="G2" s="5" t="s">
        <v>345</v>
      </c>
      <c r="H2" s="5" t="s">
        <v>346</v>
      </c>
      <c r="I2" s="5" t="s">
        <v>347</v>
      </c>
      <c r="J2" s="5" t="s">
        <v>348</v>
      </c>
    </row>
    <row r="3" spans="1:10" ht="45" customHeight="1" x14ac:dyDescent="0.3">
      <c r="A3" s="31" t="s">
        <v>349</v>
      </c>
      <c r="B3" s="32" t="s">
        <v>350</v>
      </c>
      <c r="C3" s="33" t="s">
        <v>351</v>
      </c>
      <c r="D3" s="33" t="s">
        <v>352</v>
      </c>
      <c r="E3" s="32" t="s">
        <v>353</v>
      </c>
      <c r="F3" s="34" t="s">
        <v>354</v>
      </c>
      <c r="G3" s="23" t="s">
        <v>355</v>
      </c>
      <c r="H3" s="22" t="s">
        <v>356</v>
      </c>
      <c r="I3" s="31" t="s">
        <v>357</v>
      </c>
      <c r="J3" s="33" t="s">
        <v>358</v>
      </c>
    </row>
    <row r="4" spans="1:10" ht="45" customHeight="1" x14ac:dyDescent="0.3">
      <c r="A4" s="20" t="s">
        <v>359</v>
      </c>
      <c r="B4" s="35" t="s">
        <v>360</v>
      </c>
      <c r="C4" s="21" t="s">
        <v>361</v>
      </c>
      <c r="D4" s="21" t="s">
        <v>362</v>
      </c>
      <c r="E4" s="35" t="s">
        <v>363</v>
      </c>
      <c r="F4" s="34" t="s">
        <v>364</v>
      </c>
      <c r="G4" s="23" t="s">
        <v>355</v>
      </c>
      <c r="H4" s="22" t="s">
        <v>356</v>
      </c>
      <c r="I4" s="20" t="s">
        <v>357</v>
      </c>
      <c r="J4" s="21" t="s">
        <v>365</v>
      </c>
    </row>
    <row r="5" spans="1:10" ht="45" customHeight="1" x14ac:dyDescent="0.3">
      <c r="A5" s="31" t="s">
        <v>366</v>
      </c>
      <c r="B5" s="32" t="s">
        <v>367</v>
      </c>
      <c r="C5" s="33" t="s">
        <v>368</v>
      </c>
      <c r="D5" s="33" t="s">
        <v>369</v>
      </c>
      <c r="E5" s="32" t="s">
        <v>370</v>
      </c>
      <c r="F5" s="34" t="s">
        <v>371</v>
      </c>
      <c r="G5" s="23" t="s">
        <v>355</v>
      </c>
      <c r="H5" s="23" t="s">
        <v>372</v>
      </c>
      <c r="I5" s="31" t="s">
        <v>373</v>
      </c>
      <c r="J5" s="33" t="s">
        <v>374</v>
      </c>
    </row>
    <row r="6" spans="1:10" ht="45" customHeight="1" x14ac:dyDescent="0.3">
      <c r="A6" s="20" t="s">
        <v>375</v>
      </c>
      <c r="B6" s="35" t="s">
        <v>376</v>
      </c>
      <c r="C6" s="21" t="s">
        <v>377</v>
      </c>
      <c r="D6" s="21" t="s">
        <v>378</v>
      </c>
      <c r="E6" s="35" t="s">
        <v>379</v>
      </c>
      <c r="F6" s="34" t="s">
        <v>380</v>
      </c>
      <c r="G6" s="23" t="s">
        <v>381</v>
      </c>
      <c r="H6" s="23" t="s">
        <v>372</v>
      </c>
      <c r="I6" s="20" t="s">
        <v>382</v>
      </c>
      <c r="J6" s="21" t="s">
        <v>383</v>
      </c>
    </row>
    <row r="7" spans="1:10" ht="45" customHeight="1" x14ac:dyDescent="0.3">
      <c r="A7" s="31" t="s">
        <v>384</v>
      </c>
      <c r="B7" s="32" t="s">
        <v>385</v>
      </c>
      <c r="C7" s="33" t="s">
        <v>386</v>
      </c>
      <c r="D7" s="33" t="s">
        <v>387</v>
      </c>
      <c r="E7" s="32" t="s">
        <v>388</v>
      </c>
      <c r="F7" s="34" t="s">
        <v>389</v>
      </c>
      <c r="G7" s="23" t="s">
        <v>355</v>
      </c>
      <c r="H7" s="22" t="s">
        <v>356</v>
      </c>
      <c r="I7" s="31" t="s">
        <v>390</v>
      </c>
      <c r="J7" s="33" t="s">
        <v>391</v>
      </c>
    </row>
    <row r="8" spans="1:10" ht="45" customHeight="1" x14ac:dyDescent="0.3">
      <c r="A8" s="20" t="s">
        <v>392</v>
      </c>
      <c r="B8" s="35" t="s">
        <v>393</v>
      </c>
      <c r="C8" s="21" t="s">
        <v>394</v>
      </c>
      <c r="D8" s="21" t="s">
        <v>395</v>
      </c>
      <c r="E8" s="35" t="s">
        <v>396</v>
      </c>
      <c r="F8" s="34" t="s">
        <v>389</v>
      </c>
      <c r="G8" s="23" t="s">
        <v>355</v>
      </c>
      <c r="H8" s="22" t="s">
        <v>356</v>
      </c>
      <c r="I8" s="20" t="s">
        <v>373</v>
      </c>
      <c r="J8" s="21" t="s">
        <v>397</v>
      </c>
    </row>
    <row r="9" spans="1:10" ht="45" customHeight="1" x14ac:dyDescent="0.3">
      <c r="A9" s="31" t="s">
        <v>398</v>
      </c>
      <c r="B9" s="32" t="s">
        <v>399</v>
      </c>
      <c r="C9" s="33" t="s">
        <v>400</v>
      </c>
      <c r="D9" s="33" t="s">
        <v>401</v>
      </c>
      <c r="E9" s="32" t="s">
        <v>402</v>
      </c>
      <c r="F9" s="34" t="s">
        <v>403</v>
      </c>
      <c r="G9" s="23" t="s">
        <v>355</v>
      </c>
      <c r="H9" s="23" t="s">
        <v>404</v>
      </c>
      <c r="I9" s="31" t="s">
        <v>405</v>
      </c>
      <c r="J9" s="33" t="s">
        <v>406</v>
      </c>
    </row>
  </sheetData>
  <mergeCells count="1">
    <mergeCell ref="A1:J1"/>
  </mergeCells>
  <pageMargins left="0.25" right="0.25" top="0.75" bottom="0.75" header="0.3" footer="0.3"/>
  <pageSetup paperSize="9" scale="7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33C00"/>
    <pageSetUpPr fitToPage="1"/>
  </sheetPr>
  <dimension ref="A1:I2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20" customWidth="1"/>
    <col min="2" max="3" width="28" customWidth="1"/>
    <col min="4" max="4" width="16" customWidth="1"/>
    <col min="5" max="5" width="28" customWidth="1"/>
    <col min="6" max="6" width="22" customWidth="1"/>
    <col min="7" max="8" width="28" customWidth="1"/>
    <col min="9" max="9" width="8" customWidth="1"/>
  </cols>
  <sheetData>
    <row r="1" spans="1:9" ht="15.75" customHeight="1" x14ac:dyDescent="0.3">
      <c r="A1" s="60" t="s">
        <v>407</v>
      </c>
      <c r="B1" s="60"/>
      <c r="C1" s="60"/>
      <c r="D1" s="60"/>
      <c r="E1" s="60"/>
      <c r="F1" s="60"/>
      <c r="G1" s="60"/>
      <c r="H1" s="60"/>
      <c r="I1" s="60"/>
    </row>
    <row r="2" spans="1:9" ht="15" customHeight="1" x14ac:dyDescent="0.3">
      <c r="A2" s="61" t="s">
        <v>408</v>
      </c>
      <c r="B2" s="61"/>
      <c r="C2" s="61"/>
      <c r="D2" s="61"/>
      <c r="E2" s="61"/>
      <c r="F2" s="61"/>
      <c r="G2" s="61"/>
      <c r="H2" s="61"/>
      <c r="I2" s="61"/>
    </row>
    <row r="3" spans="1:9" ht="15" customHeight="1" x14ac:dyDescent="0.3">
      <c r="A3" s="36" t="s">
        <v>409</v>
      </c>
      <c r="B3" s="36" t="s">
        <v>410</v>
      </c>
      <c r="C3" s="36" t="s">
        <v>411</v>
      </c>
      <c r="D3" s="36" t="s">
        <v>40</v>
      </c>
      <c r="E3" s="36" t="s">
        <v>412</v>
      </c>
      <c r="F3" s="36" t="s">
        <v>413</v>
      </c>
      <c r="G3" s="36" t="s">
        <v>414</v>
      </c>
      <c r="H3" s="36" t="s">
        <v>415</v>
      </c>
      <c r="I3" s="36" t="s">
        <v>241</v>
      </c>
    </row>
    <row r="4" spans="1:9" ht="42" customHeight="1" x14ac:dyDescent="0.3">
      <c r="A4" s="37" t="s">
        <v>416</v>
      </c>
      <c r="B4" s="38" t="s">
        <v>417</v>
      </c>
      <c r="C4" s="39" t="s">
        <v>418</v>
      </c>
      <c r="D4" s="38" t="s">
        <v>419</v>
      </c>
      <c r="E4" s="38" t="s">
        <v>420</v>
      </c>
      <c r="F4" s="38" t="s">
        <v>421</v>
      </c>
      <c r="G4" s="38" t="s">
        <v>422</v>
      </c>
      <c r="H4" s="38" t="s">
        <v>423</v>
      </c>
      <c r="I4" s="23" t="s">
        <v>251</v>
      </c>
    </row>
    <row r="5" spans="1:9" ht="42" customHeight="1" x14ac:dyDescent="0.3">
      <c r="A5" s="40" t="s">
        <v>424</v>
      </c>
      <c r="B5" s="28" t="s">
        <v>425</v>
      </c>
      <c r="C5" s="39" t="s">
        <v>426</v>
      </c>
      <c r="D5" s="28" t="s">
        <v>427</v>
      </c>
      <c r="E5" s="28" t="s">
        <v>428</v>
      </c>
      <c r="F5" s="28" t="s">
        <v>429</v>
      </c>
      <c r="G5" s="28" t="s">
        <v>430</v>
      </c>
      <c r="H5" s="28" t="s">
        <v>423</v>
      </c>
      <c r="I5" s="23" t="s">
        <v>251</v>
      </c>
    </row>
    <row r="6" spans="1:9" ht="42" customHeight="1" x14ac:dyDescent="0.3">
      <c r="A6" s="37" t="s">
        <v>431</v>
      </c>
      <c r="B6" s="38" t="s">
        <v>432</v>
      </c>
      <c r="C6" s="39" t="s">
        <v>433</v>
      </c>
      <c r="D6" s="38" t="s">
        <v>434</v>
      </c>
      <c r="E6" s="38" t="s">
        <v>435</v>
      </c>
      <c r="F6" s="38" t="s">
        <v>436</v>
      </c>
      <c r="G6" s="38" t="s">
        <v>437</v>
      </c>
      <c r="H6" s="38" t="s">
        <v>438</v>
      </c>
      <c r="I6" s="23" t="s">
        <v>251</v>
      </c>
    </row>
    <row r="7" spans="1:9" ht="42" customHeight="1" x14ac:dyDescent="0.3">
      <c r="A7" s="40" t="s">
        <v>439</v>
      </c>
      <c r="B7" s="28" t="s">
        <v>440</v>
      </c>
      <c r="C7" s="39" t="s">
        <v>441</v>
      </c>
      <c r="D7" s="28" t="s">
        <v>442</v>
      </c>
      <c r="E7" s="28" t="s">
        <v>443</v>
      </c>
      <c r="F7" s="28" t="s">
        <v>444</v>
      </c>
      <c r="G7" s="28" t="s">
        <v>445</v>
      </c>
      <c r="H7" s="28" t="s">
        <v>446</v>
      </c>
      <c r="I7" s="23" t="s">
        <v>251</v>
      </c>
    </row>
    <row r="8" spans="1:9" ht="42" customHeight="1" x14ac:dyDescent="0.3">
      <c r="A8" s="37" t="s">
        <v>447</v>
      </c>
      <c r="B8" s="38" t="s">
        <v>448</v>
      </c>
      <c r="C8" s="39" t="s">
        <v>449</v>
      </c>
      <c r="D8" s="38" t="s">
        <v>450</v>
      </c>
      <c r="E8" s="38" t="s">
        <v>451</v>
      </c>
      <c r="F8" s="38" t="s">
        <v>452</v>
      </c>
      <c r="G8" s="38" t="s">
        <v>453</v>
      </c>
      <c r="H8" s="38" t="s">
        <v>375</v>
      </c>
      <c r="I8" s="23" t="s">
        <v>261</v>
      </c>
    </row>
    <row r="9" spans="1:9" ht="42" customHeight="1" x14ac:dyDescent="0.3">
      <c r="A9" s="40" t="s">
        <v>454</v>
      </c>
      <c r="B9" s="28" t="s">
        <v>455</v>
      </c>
      <c r="C9" s="39" t="s">
        <v>456</v>
      </c>
      <c r="D9" s="28" t="s">
        <v>457</v>
      </c>
      <c r="E9" s="28" t="s">
        <v>458</v>
      </c>
      <c r="F9" s="28" t="s">
        <v>459</v>
      </c>
      <c r="G9" s="28" t="s">
        <v>460</v>
      </c>
      <c r="H9" s="28" t="s">
        <v>423</v>
      </c>
      <c r="I9" s="23" t="s">
        <v>251</v>
      </c>
    </row>
    <row r="10" spans="1:9" ht="42" customHeight="1" x14ac:dyDescent="0.3">
      <c r="A10" s="37" t="s">
        <v>461</v>
      </c>
      <c r="B10" s="38" t="s">
        <v>462</v>
      </c>
      <c r="C10" s="39" t="s">
        <v>463</v>
      </c>
      <c r="D10" s="38" t="s">
        <v>461</v>
      </c>
      <c r="E10" s="38" t="s">
        <v>464</v>
      </c>
      <c r="F10" s="38" t="s">
        <v>444</v>
      </c>
      <c r="G10" s="38" t="s">
        <v>465</v>
      </c>
      <c r="H10" s="38" t="s">
        <v>349</v>
      </c>
      <c r="I10" s="23" t="s">
        <v>261</v>
      </c>
    </row>
    <row r="11" spans="1:9" ht="42" customHeight="1" x14ac:dyDescent="0.3">
      <c r="A11" s="40" t="s">
        <v>466</v>
      </c>
      <c r="B11" s="28" t="s">
        <v>467</v>
      </c>
      <c r="C11" s="39" t="s">
        <v>468</v>
      </c>
      <c r="D11" s="28" t="s">
        <v>469</v>
      </c>
      <c r="E11" s="28" t="s">
        <v>470</v>
      </c>
      <c r="F11" s="28" t="s">
        <v>471</v>
      </c>
      <c r="G11" s="28" t="s">
        <v>472</v>
      </c>
      <c r="H11" s="28" t="s">
        <v>375</v>
      </c>
      <c r="I11" s="23" t="s">
        <v>261</v>
      </c>
    </row>
    <row r="12" spans="1:9" ht="15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5" customHeight="1" x14ac:dyDescent="0.3">
      <c r="A13" s="66" t="s">
        <v>473</v>
      </c>
      <c r="B13" s="66"/>
      <c r="C13" s="66"/>
      <c r="D13" s="66"/>
      <c r="E13" s="66"/>
      <c r="F13" s="66"/>
      <c r="G13" s="66"/>
      <c r="H13" s="66"/>
      <c r="I13" s="66"/>
    </row>
    <row r="14" spans="1:9" ht="15" customHeight="1" x14ac:dyDescent="0.3">
      <c r="A14" s="19" t="s">
        <v>474</v>
      </c>
      <c r="B14" s="19" t="s">
        <v>475</v>
      </c>
      <c r="C14" s="19" t="s">
        <v>476</v>
      </c>
      <c r="D14" s="19" t="s">
        <v>477</v>
      </c>
      <c r="E14" s="19" t="s">
        <v>478</v>
      </c>
      <c r="F14" s="19" t="s">
        <v>479</v>
      </c>
      <c r="G14" s="19" t="s">
        <v>480</v>
      </c>
      <c r="H14" s="19" t="s">
        <v>481</v>
      </c>
      <c r="I14" s="19" t="s">
        <v>241</v>
      </c>
    </row>
    <row r="15" spans="1:9" ht="42" customHeight="1" x14ac:dyDescent="0.3">
      <c r="A15" s="41" t="s">
        <v>482</v>
      </c>
      <c r="B15" s="25" t="s">
        <v>483</v>
      </c>
      <c r="C15" s="39" t="s">
        <v>484</v>
      </c>
      <c r="D15" s="25" t="s">
        <v>485</v>
      </c>
      <c r="E15" s="25" t="s">
        <v>486</v>
      </c>
      <c r="F15" s="25" t="s">
        <v>487</v>
      </c>
      <c r="G15" s="42" t="s">
        <v>488</v>
      </c>
      <c r="H15" s="25" t="s">
        <v>489</v>
      </c>
      <c r="I15" s="23" t="s">
        <v>251</v>
      </c>
    </row>
    <row r="16" spans="1:9" ht="42" customHeight="1" x14ac:dyDescent="0.3">
      <c r="A16" s="43" t="s">
        <v>490</v>
      </c>
      <c r="B16" s="44" t="s">
        <v>491</v>
      </c>
      <c r="C16" s="39" t="s">
        <v>492</v>
      </c>
      <c r="D16" s="44" t="s">
        <v>493</v>
      </c>
      <c r="E16" s="44" t="s">
        <v>494</v>
      </c>
      <c r="F16" s="44" t="s">
        <v>66</v>
      </c>
      <c r="G16" s="42" t="s">
        <v>495</v>
      </c>
      <c r="H16" s="44" t="s">
        <v>496</v>
      </c>
      <c r="I16" s="23" t="s">
        <v>261</v>
      </c>
    </row>
    <row r="17" spans="1:9" ht="42" customHeight="1" x14ac:dyDescent="0.3">
      <c r="A17" s="41" t="s">
        <v>497</v>
      </c>
      <c r="B17" s="25" t="s">
        <v>498</v>
      </c>
      <c r="C17" s="39" t="s">
        <v>499</v>
      </c>
      <c r="D17" s="25" t="s">
        <v>493</v>
      </c>
      <c r="E17" s="25" t="s">
        <v>500</v>
      </c>
      <c r="F17" s="25" t="s">
        <v>501</v>
      </c>
      <c r="G17" s="42" t="s">
        <v>502</v>
      </c>
      <c r="H17" s="25" t="s">
        <v>503</v>
      </c>
      <c r="I17" s="23" t="s">
        <v>251</v>
      </c>
    </row>
    <row r="18" spans="1:9" ht="42" customHeight="1" x14ac:dyDescent="0.3">
      <c r="A18" s="43" t="s">
        <v>504</v>
      </c>
      <c r="B18" s="44" t="s">
        <v>505</v>
      </c>
      <c r="C18" s="39" t="s">
        <v>506</v>
      </c>
      <c r="D18" s="44" t="s">
        <v>493</v>
      </c>
      <c r="E18" s="44" t="s">
        <v>507</v>
      </c>
      <c r="F18" s="44" t="s">
        <v>66</v>
      </c>
      <c r="G18" s="42" t="s">
        <v>508</v>
      </c>
      <c r="H18" s="44" t="s">
        <v>509</v>
      </c>
      <c r="I18" s="23" t="s">
        <v>251</v>
      </c>
    </row>
    <row r="19" spans="1:9" ht="42" customHeight="1" x14ac:dyDescent="0.3">
      <c r="A19" s="41" t="s">
        <v>510</v>
      </c>
      <c r="B19" s="25" t="s">
        <v>511</v>
      </c>
      <c r="C19" s="39" t="s">
        <v>512</v>
      </c>
      <c r="D19" s="25" t="s">
        <v>493</v>
      </c>
      <c r="E19" s="25" t="s">
        <v>513</v>
      </c>
      <c r="F19" s="25" t="s">
        <v>66</v>
      </c>
      <c r="G19" s="42" t="s">
        <v>514</v>
      </c>
      <c r="H19" s="25" t="s">
        <v>515</v>
      </c>
      <c r="I19" s="23" t="s">
        <v>251</v>
      </c>
    </row>
    <row r="20" spans="1:9" ht="42" customHeight="1" x14ac:dyDescent="0.3">
      <c r="A20" s="43" t="s">
        <v>516</v>
      </c>
      <c r="B20" s="44" t="s">
        <v>517</v>
      </c>
      <c r="C20" s="39" t="s">
        <v>518</v>
      </c>
      <c r="D20" s="44" t="s">
        <v>519</v>
      </c>
      <c r="E20" s="44" t="s">
        <v>520</v>
      </c>
      <c r="F20" s="44" t="s">
        <v>66</v>
      </c>
      <c r="G20" s="42" t="s">
        <v>521</v>
      </c>
      <c r="H20" s="44" t="s">
        <v>522</v>
      </c>
      <c r="I20" s="23" t="s">
        <v>261</v>
      </c>
    </row>
    <row r="21" spans="1:9" ht="42" customHeight="1" x14ac:dyDescent="0.3">
      <c r="A21" s="41" t="s">
        <v>523</v>
      </c>
      <c r="B21" s="25" t="s">
        <v>524</v>
      </c>
      <c r="C21" s="39" t="s">
        <v>525</v>
      </c>
      <c r="D21" s="25" t="s">
        <v>493</v>
      </c>
      <c r="E21" s="25" t="s">
        <v>526</v>
      </c>
      <c r="F21" s="25" t="s">
        <v>66</v>
      </c>
      <c r="G21" s="42" t="s">
        <v>527</v>
      </c>
      <c r="H21" s="25" t="s">
        <v>528</v>
      </c>
      <c r="I21" s="23" t="s">
        <v>251</v>
      </c>
    </row>
    <row r="22" spans="1:9" ht="42" customHeight="1" x14ac:dyDescent="0.3">
      <c r="A22" s="43" t="s">
        <v>529</v>
      </c>
      <c r="B22" s="44" t="s">
        <v>530</v>
      </c>
      <c r="C22" s="39" t="s">
        <v>531</v>
      </c>
      <c r="D22" s="44" t="s">
        <v>493</v>
      </c>
      <c r="E22" s="44" t="s">
        <v>532</v>
      </c>
      <c r="F22" s="44" t="s">
        <v>66</v>
      </c>
      <c r="G22" s="42" t="s">
        <v>533</v>
      </c>
      <c r="H22" s="44" t="s">
        <v>534</v>
      </c>
      <c r="I22" s="23" t="s">
        <v>261</v>
      </c>
    </row>
    <row r="23" spans="1:9" ht="42" customHeight="1" x14ac:dyDescent="0.3">
      <c r="A23" s="41" t="s">
        <v>535</v>
      </c>
      <c r="B23" s="25" t="s">
        <v>536</v>
      </c>
      <c r="C23" s="39" t="s">
        <v>537</v>
      </c>
      <c r="D23" s="25" t="s">
        <v>538</v>
      </c>
      <c r="E23" s="25" t="s">
        <v>539</v>
      </c>
      <c r="F23" s="25" t="s">
        <v>540</v>
      </c>
      <c r="G23" s="42" t="s">
        <v>541</v>
      </c>
      <c r="H23" s="25" t="s">
        <v>542</v>
      </c>
      <c r="I23" s="23" t="s">
        <v>251</v>
      </c>
    </row>
    <row r="24" spans="1:9" ht="42" customHeight="1" x14ac:dyDescent="0.3">
      <c r="A24" s="43" t="s">
        <v>543</v>
      </c>
      <c r="B24" s="44" t="s">
        <v>544</v>
      </c>
      <c r="C24" s="39" t="s">
        <v>545</v>
      </c>
      <c r="D24" s="44" t="s">
        <v>546</v>
      </c>
      <c r="E24" s="44" t="s">
        <v>547</v>
      </c>
      <c r="F24" s="44" t="s">
        <v>548</v>
      </c>
      <c r="G24" s="42" t="s">
        <v>549</v>
      </c>
      <c r="H24" s="44" t="s">
        <v>550</v>
      </c>
      <c r="I24" s="23" t="s">
        <v>261</v>
      </c>
    </row>
  </sheetData>
  <mergeCells count="3">
    <mergeCell ref="A1:I1"/>
    <mergeCell ref="A2:I2"/>
    <mergeCell ref="A13:I13"/>
  </mergeCells>
  <pageMargins left="0.75" right="0.75" top="1" bottom="1" header="0.511811023622047" footer="0.511811023622047"/>
  <pageSetup paperSize="9" scale="41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5723"/>
  </sheetPr>
  <dimension ref="A1:H35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32" customWidth="1"/>
    <col min="3" max="3" width="28" customWidth="1"/>
    <col min="4" max="4" width="22" customWidth="1"/>
    <col min="5" max="5" width="16" customWidth="1"/>
    <col min="6" max="6" width="10" customWidth="1"/>
    <col min="7" max="8" width="22" customWidth="1"/>
  </cols>
  <sheetData>
    <row r="1" spans="1:8" ht="15.75" customHeight="1" x14ac:dyDescent="0.3">
      <c r="A1" s="60" t="s">
        <v>551</v>
      </c>
      <c r="B1" s="60"/>
      <c r="C1" s="60"/>
      <c r="D1" s="60"/>
      <c r="E1" s="60"/>
      <c r="F1" s="60"/>
      <c r="G1" s="60"/>
      <c r="H1" s="60"/>
    </row>
    <row r="2" spans="1:8" ht="15" customHeight="1" x14ac:dyDescent="0.3">
      <c r="A2" s="5" t="s">
        <v>231</v>
      </c>
      <c r="B2" s="5" t="s">
        <v>552</v>
      </c>
      <c r="C2" s="5" t="s">
        <v>553</v>
      </c>
      <c r="D2" s="5" t="s">
        <v>554</v>
      </c>
      <c r="E2" s="5" t="s">
        <v>555</v>
      </c>
      <c r="F2" s="5" t="s">
        <v>556</v>
      </c>
      <c r="G2" s="5" t="s">
        <v>557</v>
      </c>
      <c r="H2" s="5" t="s">
        <v>558</v>
      </c>
    </row>
    <row r="3" spans="1:8" ht="21.75" customHeight="1" x14ac:dyDescent="0.3">
      <c r="A3" s="25" t="s">
        <v>24</v>
      </c>
      <c r="B3" s="25" t="s">
        <v>559</v>
      </c>
      <c r="C3" s="25" t="s">
        <v>560</v>
      </c>
      <c r="D3" s="25" t="s">
        <v>561</v>
      </c>
      <c r="E3" s="25" t="s">
        <v>562</v>
      </c>
      <c r="F3" s="45" t="s">
        <v>28</v>
      </c>
      <c r="G3" s="46" t="s">
        <v>563</v>
      </c>
      <c r="H3" s="47">
        <f t="shared" ref="H3:H14" si="0">G4*F4</f>
        <v>170000</v>
      </c>
    </row>
    <row r="4" spans="1:8" ht="15" customHeight="1" x14ac:dyDescent="0.3">
      <c r="A4" s="21" t="s">
        <v>26</v>
      </c>
      <c r="B4" s="21" t="s">
        <v>564</v>
      </c>
      <c r="C4" s="21" t="s">
        <v>565</v>
      </c>
      <c r="D4" s="21" t="s">
        <v>566</v>
      </c>
      <c r="E4" s="21" t="s">
        <v>567</v>
      </c>
      <c r="F4" s="48" t="s">
        <v>26</v>
      </c>
      <c r="G4" s="46" t="s">
        <v>568</v>
      </c>
      <c r="H4" s="47">
        <f t="shared" si="0"/>
        <v>90000</v>
      </c>
    </row>
    <row r="5" spans="1:8" ht="15" customHeight="1" x14ac:dyDescent="0.3">
      <c r="A5" s="25" t="s">
        <v>28</v>
      </c>
      <c r="B5" s="25" t="s">
        <v>569</v>
      </c>
      <c r="C5" s="25" t="s">
        <v>570</v>
      </c>
      <c r="D5" s="25" t="s">
        <v>571</v>
      </c>
      <c r="E5" s="25" t="s">
        <v>567</v>
      </c>
      <c r="F5" s="45" t="s">
        <v>26</v>
      </c>
      <c r="G5" s="46" t="s">
        <v>572</v>
      </c>
      <c r="H5" s="47">
        <f t="shared" si="0"/>
        <v>320000</v>
      </c>
    </row>
    <row r="6" spans="1:8" ht="15" customHeight="1" x14ac:dyDescent="0.3">
      <c r="A6" s="21" t="s">
        <v>30</v>
      </c>
      <c r="B6" s="21" t="s">
        <v>573</v>
      </c>
      <c r="C6" s="21" t="s">
        <v>574</v>
      </c>
      <c r="D6" s="21" t="s">
        <v>575</v>
      </c>
      <c r="E6" s="21" t="s">
        <v>576</v>
      </c>
      <c r="F6" s="48" t="s">
        <v>24</v>
      </c>
      <c r="G6" s="46" t="s">
        <v>577</v>
      </c>
      <c r="H6" s="47">
        <f t="shared" si="0"/>
        <v>180000</v>
      </c>
    </row>
    <row r="7" spans="1:8" ht="15" customHeight="1" x14ac:dyDescent="0.3">
      <c r="A7" s="25" t="s">
        <v>32</v>
      </c>
      <c r="B7" s="25" t="s">
        <v>578</v>
      </c>
      <c r="C7" s="25" t="s">
        <v>579</v>
      </c>
      <c r="D7" s="25" t="s">
        <v>580</v>
      </c>
      <c r="E7" s="25" t="s">
        <v>581</v>
      </c>
      <c r="F7" s="45" t="s">
        <v>24</v>
      </c>
      <c r="G7" s="46" t="s">
        <v>582</v>
      </c>
      <c r="H7" s="47">
        <f t="shared" si="0"/>
        <v>850000</v>
      </c>
    </row>
    <row r="8" spans="1:8" ht="15" customHeight="1" x14ac:dyDescent="0.3">
      <c r="A8" s="21" t="s">
        <v>583</v>
      </c>
      <c r="B8" s="21" t="s">
        <v>584</v>
      </c>
      <c r="C8" s="21" t="s">
        <v>585</v>
      </c>
      <c r="D8" s="21" t="s">
        <v>575</v>
      </c>
      <c r="E8" s="21" t="s">
        <v>586</v>
      </c>
      <c r="F8" s="48" t="s">
        <v>24</v>
      </c>
      <c r="G8" s="46" t="s">
        <v>587</v>
      </c>
      <c r="H8" s="47">
        <f t="shared" si="0"/>
        <v>55000</v>
      </c>
    </row>
    <row r="9" spans="1:8" ht="15" customHeight="1" x14ac:dyDescent="0.3">
      <c r="A9" s="25" t="s">
        <v>260</v>
      </c>
      <c r="B9" s="25" t="s">
        <v>588</v>
      </c>
      <c r="C9" s="25" t="s">
        <v>589</v>
      </c>
      <c r="D9" s="25" t="s">
        <v>571</v>
      </c>
      <c r="E9" s="25" t="s">
        <v>567</v>
      </c>
      <c r="F9" s="45" t="s">
        <v>24</v>
      </c>
      <c r="G9" s="46" t="s">
        <v>590</v>
      </c>
      <c r="H9" s="47">
        <f t="shared" si="0"/>
        <v>1200000</v>
      </c>
    </row>
    <row r="10" spans="1:8" ht="15" customHeight="1" x14ac:dyDescent="0.3">
      <c r="A10" s="21" t="s">
        <v>591</v>
      </c>
      <c r="B10" s="21" t="s">
        <v>592</v>
      </c>
      <c r="C10" s="21" t="s">
        <v>593</v>
      </c>
      <c r="D10" s="21" t="s">
        <v>575</v>
      </c>
      <c r="E10" s="21" t="s">
        <v>586</v>
      </c>
      <c r="F10" s="48" t="s">
        <v>24</v>
      </c>
      <c r="G10" s="46" t="s">
        <v>594</v>
      </c>
      <c r="H10" s="47">
        <f t="shared" si="0"/>
        <v>380000</v>
      </c>
    </row>
    <row r="11" spans="1:8" ht="15" customHeight="1" x14ac:dyDescent="0.3">
      <c r="A11" s="25" t="s">
        <v>389</v>
      </c>
      <c r="B11" s="25" t="s">
        <v>595</v>
      </c>
      <c r="C11" s="25" t="s">
        <v>596</v>
      </c>
      <c r="D11" s="25" t="s">
        <v>571</v>
      </c>
      <c r="E11" s="25" t="s">
        <v>597</v>
      </c>
      <c r="F11" s="45" t="s">
        <v>24</v>
      </c>
      <c r="G11" s="46" t="s">
        <v>598</v>
      </c>
      <c r="H11" s="47">
        <f t="shared" si="0"/>
        <v>840000</v>
      </c>
    </row>
    <row r="12" spans="1:8" ht="15" customHeight="1" x14ac:dyDescent="0.3">
      <c r="A12" s="21" t="s">
        <v>273</v>
      </c>
      <c r="B12" s="21" t="s">
        <v>599</v>
      </c>
      <c r="C12" s="21" t="s">
        <v>600</v>
      </c>
      <c r="D12" s="21" t="s">
        <v>571</v>
      </c>
      <c r="E12" s="21" t="s">
        <v>597</v>
      </c>
      <c r="F12" s="48" t="s">
        <v>30</v>
      </c>
      <c r="G12" s="46" t="s">
        <v>601</v>
      </c>
      <c r="H12" s="47">
        <f t="shared" si="0"/>
        <v>7500000</v>
      </c>
    </row>
    <row r="13" spans="1:8" ht="21.75" customHeight="1" x14ac:dyDescent="0.3">
      <c r="A13" s="25" t="s">
        <v>602</v>
      </c>
      <c r="B13" s="25" t="s">
        <v>603</v>
      </c>
      <c r="C13" s="25" t="s">
        <v>604</v>
      </c>
      <c r="D13" s="25" t="s">
        <v>605</v>
      </c>
      <c r="E13" s="25" t="s">
        <v>606</v>
      </c>
      <c r="F13" s="45" t="s">
        <v>273</v>
      </c>
      <c r="G13" s="46" t="s">
        <v>607</v>
      </c>
      <c r="H13" s="47">
        <f t="shared" si="0"/>
        <v>1850000</v>
      </c>
    </row>
    <row r="14" spans="1:8" ht="15" customHeight="1" x14ac:dyDescent="0.3">
      <c r="A14" s="21" t="s">
        <v>608</v>
      </c>
      <c r="B14" s="21" t="s">
        <v>609</v>
      </c>
      <c r="C14" s="21" t="s">
        <v>610</v>
      </c>
      <c r="D14" s="21" t="s">
        <v>575</v>
      </c>
      <c r="E14" s="21" t="s">
        <v>611</v>
      </c>
      <c r="F14" s="48" t="s">
        <v>24</v>
      </c>
      <c r="G14" s="46" t="s">
        <v>612</v>
      </c>
      <c r="H14" s="47">
        <f t="shared" si="0"/>
        <v>230000</v>
      </c>
    </row>
    <row r="15" spans="1:8" ht="15" customHeight="1" x14ac:dyDescent="0.3">
      <c r="A15" s="25" t="s">
        <v>613</v>
      </c>
      <c r="B15" s="25" t="s">
        <v>614</v>
      </c>
      <c r="C15" s="25" t="s">
        <v>615</v>
      </c>
      <c r="D15" s="25" t="s">
        <v>575</v>
      </c>
      <c r="E15" s="25" t="s">
        <v>616</v>
      </c>
      <c r="F15" s="45">
        <v>1</v>
      </c>
      <c r="G15" s="46" t="s">
        <v>617</v>
      </c>
      <c r="H15" s="47">
        <f>G15*F15</f>
        <v>230000</v>
      </c>
    </row>
    <row r="16" spans="1:8" ht="15" customHeight="1" x14ac:dyDescent="0.3">
      <c r="A16" s="21" t="s">
        <v>250</v>
      </c>
      <c r="B16" s="21" t="s">
        <v>618</v>
      </c>
      <c r="C16" s="21" t="s">
        <v>619</v>
      </c>
      <c r="D16" s="21" t="s">
        <v>620</v>
      </c>
      <c r="E16" s="21" t="s">
        <v>66</v>
      </c>
      <c r="F16" s="48" t="s">
        <v>66</v>
      </c>
      <c r="G16" s="46" t="s">
        <v>621</v>
      </c>
      <c r="H16" s="47">
        <f>G17*1</f>
        <v>280000</v>
      </c>
    </row>
    <row r="17" spans="1:8" ht="15" customHeight="1" x14ac:dyDescent="0.3">
      <c r="A17" s="25" t="s">
        <v>622</v>
      </c>
      <c r="B17" s="25" t="s">
        <v>623</v>
      </c>
      <c r="C17" s="25" t="s">
        <v>624</v>
      </c>
      <c r="D17" s="25" t="s">
        <v>625</v>
      </c>
      <c r="E17" s="25" t="s">
        <v>626</v>
      </c>
      <c r="F17" s="45" t="s">
        <v>24</v>
      </c>
      <c r="G17" s="46" t="s">
        <v>627</v>
      </c>
      <c r="H17" s="47">
        <f t="shared" ref="H17:H27" si="1">G18*F18</f>
        <v>650000</v>
      </c>
    </row>
    <row r="18" spans="1:8" ht="15" customHeight="1" x14ac:dyDescent="0.3">
      <c r="A18" s="21" t="s">
        <v>628</v>
      </c>
      <c r="B18" s="21" t="s">
        <v>629</v>
      </c>
      <c r="C18" s="21" t="s">
        <v>630</v>
      </c>
      <c r="D18" s="21" t="s">
        <v>575</v>
      </c>
      <c r="E18" s="21" t="s">
        <v>631</v>
      </c>
      <c r="F18" s="48" t="s">
        <v>24</v>
      </c>
      <c r="G18" s="46" t="s">
        <v>632</v>
      </c>
      <c r="H18" s="47">
        <f t="shared" si="1"/>
        <v>95000</v>
      </c>
    </row>
    <row r="19" spans="1:8" ht="15" customHeight="1" x14ac:dyDescent="0.3">
      <c r="A19" s="25" t="s">
        <v>633</v>
      </c>
      <c r="B19" s="25" t="s">
        <v>634</v>
      </c>
      <c r="C19" s="25" t="s">
        <v>635</v>
      </c>
      <c r="D19" s="25" t="s">
        <v>571</v>
      </c>
      <c r="E19" s="25" t="s">
        <v>636</v>
      </c>
      <c r="F19" s="45" t="s">
        <v>24</v>
      </c>
      <c r="G19" s="46" t="s">
        <v>637</v>
      </c>
      <c r="H19" s="47">
        <f t="shared" si="1"/>
        <v>120000</v>
      </c>
    </row>
    <row r="20" spans="1:8" ht="15" customHeight="1" x14ac:dyDescent="0.3">
      <c r="A20" s="21" t="s">
        <v>638</v>
      </c>
      <c r="B20" s="21" t="s">
        <v>639</v>
      </c>
      <c r="C20" s="21" t="s">
        <v>640</v>
      </c>
      <c r="D20" s="21" t="s">
        <v>571</v>
      </c>
      <c r="E20" s="21" t="s">
        <v>636</v>
      </c>
      <c r="F20" s="48" t="s">
        <v>24</v>
      </c>
      <c r="G20" s="46" t="s">
        <v>641</v>
      </c>
      <c r="H20" s="47">
        <f t="shared" si="1"/>
        <v>85000</v>
      </c>
    </row>
    <row r="21" spans="1:8" ht="15" customHeight="1" x14ac:dyDescent="0.3">
      <c r="A21" s="25" t="s">
        <v>642</v>
      </c>
      <c r="B21" s="25" t="s">
        <v>643</v>
      </c>
      <c r="C21" s="25" t="s">
        <v>644</v>
      </c>
      <c r="D21" s="25" t="s">
        <v>571</v>
      </c>
      <c r="E21" s="25" t="s">
        <v>645</v>
      </c>
      <c r="F21" s="45" t="s">
        <v>24</v>
      </c>
      <c r="G21" s="46" t="s">
        <v>568</v>
      </c>
      <c r="H21" s="47">
        <f t="shared" si="1"/>
        <v>960000</v>
      </c>
    </row>
    <row r="22" spans="1:8" ht="15" customHeight="1" x14ac:dyDescent="0.3">
      <c r="A22" s="21" t="s">
        <v>646</v>
      </c>
      <c r="B22" s="21" t="s">
        <v>647</v>
      </c>
      <c r="C22" s="21" t="s">
        <v>648</v>
      </c>
      <c r="D22" s="21" t="s">
        <v>649</v>
      </c>
      <c r="E22" s="21" t="s">
        <v>650</v>
      </c>
      <c r="F22" s="48" t="s">
        <v>26</v>
      </c>
      <c r="G22" s="46" t="s">
        <v>651</v>
      </c>
      <c r="H22" s="47">
        <f t="shared" si="1"/>
        <v>500000</v>
      </c>
    </row>
    <row r="23" spans="1:8" ht="15" customHeight="1" x14ac:dyDescent="0.3">
      <c r="A23" s="25" t="s">
        <v>652</v>
      </c>
      <c r="B23" s="25" t="s">
        <v>653</v>
      </c>
      <c r="C23" s="25" t="s">
        <v>654</v>
      </c>
      <c r="D23" s="25" t="s">
        <v>66</v>
      </c>
      <c r="E23" s="25" t="s">
        <v>24</v>
      </c>
      <c r="F23" s="45" t="s">
        <v>26</v>
      </c>
      <c r="G23" s="46" t="s">
        <v>655</v>
      </c>
      <c r="H23" s="47">
        <f t="shared" si="1"/>
        <v>840000</v>
      </c>
    </row>
    <row r="24" spans="1:8" ht="15" customHeight="1" x14ac:dyDescent="0.3">
      <c r="A24" s="21" t="s">
        <v>656</v>
      </c>
      <c r="B24" s="21" t="s">
        <v>657</v>
      </c>
      <c r="C24" s="21" t="s">
        <v>658</v>
      </c>
      <c r="D24" s="21" t="s">
        <v>659</v>
      </c>
      <c r="E24" s="21" t="s">
        <v>581</v>
      </c>
      <c r="F24" s="48">
        <v>2</v>
      </c>
      <c r="G24" s="46" t="s">
        <v>660</v>
      </c>
      <c r="H24" s="47">
        <f t="shared" si="1"/>
        <v>1200000</v>
      </c>
    </row>
    <row r="25" spans="1:8" ht="15" customHeight="1" x14ac:dyDescent="0.3">
      <c r="A25" s="25" t="s">
        <v>661</v>
      </c>
      <c r="B25" s="25" t="s">
        <v>662</v>
      </c>
      <c r="C25" s="25" t="s">
        <v>663</v>
      </c>
      <c r="D25" s="25" t="s">
        <v>664</v>
      </c>
      <c r="E25" s="25" t="s">
        <v>665</v>
      </c>
      <c r="F25" s="45" t="s">
        <v>24</v>
      </c>
      <c r="G25" s="46" t="s">
        <v>594</v>
      </c>
      <c r="H25" s="47">
        <f t="shared" si="1"/>
        <v>2500000</v>
      </c>
    </row>
    <row r="26" spans="1:8" ht="15" customHeight="1" x14ac:dyDescent="0.3">
      <c r="A26" s="21" t="s">
        <v>666</v>
      </c>
      <c r="B26" s="21" t="s">
        <v>667</v>
      </c>
      <c r="C26" s="21" t="s">
        <v>668</v>
      </c>
      <c r="D26" s="21" t="s">
        <v>669</v>
      </c>
      <c r="E26" s="21" t="s">
        <v>670</v>
      </c>
      <c r="F26" s="48" t="s">
        <v>24</v>
      </c>
      <c r="G26" s="46" t="s">
        <v>671</v>
      </c>
      <c r="H26" s="47">
        <f t="shared" si="1"/>
        <v>350000</v>
      </c>
    </row>
    <row r="27" spans="1:8" ht="15" customHeight="1" x14ac:dyDescent="0.3">
      <c r="A27" s="25" t="s">
        <v>672</v>
      </c>
      <c r="B27" s="25" t="s">
        <v>673</v>
      </c>
      <c r="C27" s="25" t="s">
        <v>674</v>
      </c>
      <c r="D27" s="25" t="s">
        <v>66</v>
      </c>
      <c r="E27" s="25" t="s">
        <v>675</v>
      </c>
      <c r="F27" s="45" t="s">
        <v>24</v>
      </c>
      <c r="G27" s="46" t="s">
        <v>676</v>
      </c>
      <c r="H27" s="47">
        <f t="shared" si="1"/>
        <v>0</v>
      </c>
    </row>
    <row r="28" spans="1:8" ht="24.75" customHeight="1" x14ac:dyDescent="0.3">
      <c r="A28" s="90" t="s">
        <v>677</v>
      </c>
      <c r="B28" s="90"/>
      <c r="C28" s="90"/>
      <c r="D28" s="90"/>
      <c r="E28" s="90"/>
      <c r="F28" s="90"/>
      <c r="G28" s="90"/>
      <c r="H28" s="49">
        <f>SUM(H4:H27)</f>
        <v>21305000</v>
      </c>
    </row>
    <row r="30" spans="1:8" ht="15" customHeight="1" x14ac:dyDescent="0.3">
      <c r="A30" s="91" t="s">
        <v>678</v>
      </c>
      <c r="B30" s="91"/>
      <c r="C30" s="91"/>
      <c r="D30" s="91"/>
      <c r="E30" s="91"/>
      <c r="F30" s="91"/>
      <c r="G30" s="91"/>
      <c r="H30" s="91"/>
    </row>
    <row r="31" spans="1:8" ht="19.5" customHeight="1" x14ac:dyDescent="0.3">
      <c r="A31" s="89" t="s">
        <v>679</v>
      </c>
      <c r="B31" s="89"/>
      <c r="C31" s="89"/>
      <c r="D31" s="89"/>
      <c r="E31" s="89"/>
      <c r="F31" s="89"/>
      <c r="G31" s="89"/>
      <c r="H31" s="89"/>
    </row>
    <row r="32" spans="1:8" ht="19.5" customHeight="1" x14ac:dyDescent="0.3">
      <c r="A32" s="89" t="s">
        <v>680</v>
      </c>
      <c r="B32" s="89"/>
      <c r="C32" s="89"/>
      <c r="D32" s="89"/>
      <c r="E32" s="89"/>
      <c r="F32" s="89"/>
      <c r="G32" s="89"/>
      <c r="H32" s="89"/>
    </row>
    <row r="33" spans="1:8" ht="19.5" customHeight="1" x14ac:dyDescent="0.3">
      <c r="A33" s="89" t="s">
        <v>681</v>
      </c>
      <c r="B33" s="89"/>
      <c r="C33" s="89"/>
      <c r="D33" s="89"/>
      <c r="E33" s="89"/>
      <c r="F33" s="89"/>
      <c r="G33" s="89"/>
      <c r="H33" s="89"/>
    </row>
    <row r="34" spans="1:8" ht="19.5" customHeight="1" x14ac:dyDescent="0.3">
      <c r="A34" s="89" t="s">
        <v>682</v>
      </c>
      <c r="B34" s="89"/>
      <c r="C34" s="89"/>
      <c r="D34" s="89"/>
      <c r="E34" s="89"/>
      <c r="F34" s="89"/>
      <c r="G34" s="89"/>
      <c r="H34" s="89"/>
    </row>
    <row r="35" spans="1:8" ht="19.5" customHeight="1" x14ac:dyDescent="0.3">
      <c r="A35" s="89" t="s">
        <v>683</v>
      </c>
      <c r="B35" s="89"/>
      <c r="C35" s="89"/>
      <c r="D35" s="89"/>
      <c r="E35" s="89"/>
      <c r="F35" s="89"/>
      <c r="G35" s="89"/>
      <c r="H35" s="89"/>
    </row>
  </sheetData>
  <mergeCells count="8">
    <mergeCell ref="A33:H33"/>
    <mergeCell ref="A34:H34"/>
    <mergeCell ref="A35:H35"/>
    <mergeCell ref="A1:H1"/>
    <mergeCell ref="A28:G28"/>
    <mergeCell ref="A30:H30"/>
    <mergeCell ref="A31:H31"/>
    <mergeCell ref="A32:H3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F1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6" customWidth="1"/>
    <col min="2" max="2" width="12" customWidth="1"/>
    <col min="3" max="3" width="36" customWidth="1"/>
    <col min="4" max="4" width="28" customWidth="1"/>
    <col min="5" max="5" width="40" customWidth="1"/>
    <col min="6" max="6" width="8" customWidth="1"/>
  </cols>
  <sheetData>
    <row r="1" spans="1:6" ht="15.75" customHeight="1" x14ac:dyDescent="0.3">
      <c r="A1" s="92" t="s">
        <v>684</v>
      </c>
      <c r="B1" s="92"/>
      <c r="C1" s="92"/>
      <c r="D1" s="92"/>
      <c r="E1" s="92"/>
      <c r="F1" s="92"/>
    </row>
    <row r="2" spans="1:6" ht="15" customHeight="1" x14ac:dyDescent="0.3">
      <c r="A2" s="50" t="s">
        <v>231</v>
      </c>
      <c r="B2" s="50" t="s">
        <v>685</v>
      </c>
      <c r="C2" s="50" t="s">
        <v>686</v>
      </c>
      <c r="D2" s="50" t="s">
        <v>687</v>
      </c>
      <c r="E2" s="50" t="s">
        <v>688</v>
      </c>
      <c r="F2" s="50" t="s">
        <v>241</v>
      </c>
    </row>
    <row r="3" spans="1:6" ht="39.75" customHeight="1" x14ac:dyDescent="0.3">
      <c r="A3" s="5" t="s">
        <v>689</v>
      </c>
      <c r="B3" s="6" t="s">
        <v>690</v>
      </c>
      <c r="C3" s="51" t="s">
        <v>691</v>
      </c>
      <c r="D3" s="52" t="s">
        <v>692</v>
      </c>
      <c r="E3" s="39" t="s">
        <v>693</v>
      </c>
      <c r="F3" s="6" t="s">
        <v>251</v>
      </c>
    </row>
    <row r="4" spans="1:6" ht="39.75" customHeight="1" x14ac:dyDescent="0.3">
      <c r="A4" s="5" t="s">
        <v>694</v>
      </c>
      <c r="B4" s="6" t="s">
        <v>690</v>
      </c>
      <c r="C4" s="51" t="s">
        <v>695</v>
      </c>
      <c r="D4" s="52" t="s">
        <v>696</v>
      </c>
      <c r="E4" s="39" t="s">
        <v>697</v>
      </c>
      <c r="F4" s="6" t="s">
        <v>251</v>
      </c>
    </row>
    <row r="5" spans="1:6" ht="39.75" customHeight="1" x14ac:dyDescent="0.3">
      <c r="A5" s="5" t="s">
        <v>698</v>
      </c>
      <c r="B5" s="6" t="s">
        <v>690</v>
      </c>
      <c r="C5" s="51" t="s">
        <v>699</v>
      </c>
      <c r="D5" s="52" t="s">
        <v>700</v>
      </c>
      <c r="E5" s="39" t="s">
        <v>701</v>
      </c>
      <c r="F5" s="6" t="s">
        <v>251</v>
      </c>
    </row>
    <row r="6" spans="1:6" ht="39.75" customHeight="1" x14ac:dyDescent="0.3">
      <c r="A6" s="5" t="s">
        <v>702</v>
      </c>
      <c r="B6" s="6" t="s">
        <v>690</v>
      </c>
      <c r="C6" s="51" t="s">
        <v>703</v>
      </c>
      <c r="D6" s="52" t="s">
        <v>704</v>
      </c>
      <c r="E6" s="39" t="s">
        <v>705</v>
      </c>
      <c r="F6" s="6" t="s">
        <v>251</v>
      </c>
    </row>
    <row r="7" spans="1:6" ht="39.75" customHeight="1" x14ac:dyDescent="0.3">
      <c r="A7" s="5" t="s">
        <v>706</v>
      </c>
      <c r="B7" s="53" t="s">
        <v>707</v>
      </c>
      <c r="C7" s="51" t="s">
        <v>708</v>
      </c>
      <c r="D7" s="52" t="s">
        <v>709</v>
      </c>
      <c r="E7" s="39" t="s">
        <v>710</v>
      </c>
      <c r="F7" s="6" t="s">
        <v>251</v>
      </c>
    </row>
    <row r="8" spans="1:6" ht="39.75" customHeight="1" x14ac:dyDescent="0.3">
      <c r="A8" s="5" t="s">
        <v>711</v>
      </c>
      <c r="B8" s="54" t="s">
        <v>6</v>
      </c>
      <c r="C8" s="51" t="s">
        <v>712</v>
      </c>
      <c r="D8" s="52" t="s">
        <v>713</v>
      </c>
      <c r="E8" s="39" t="s">
        <v>714</v>
      </c>
      <c r="F8" s="6" t="s">
        <v>251</v>
      </c>
    </row>
    <row r="9" spans="1:6" ht="39.75" customHeight="1" x14ac:dyDescent="0.3">
      <c r="A9" s="5" t="s">
        <v>715</v>
      </c>
      <c r="B9" s="54" t="s">
        <v>6</v>
      </c>
      <c r="C9" s="51" t="s">
        <v>716</v>
      </c>
      <c r="D9" s="52" t="s">
        <v>717</v>
      </c>
      <c r="E9" s="39" t="s">
        <v>718</v>
      </c>
      <c r="F9" s="6" t="s">
        <v>251</v>
      </c>
    </row>
    <row r="10" spans="1:6" ht="39.75" customHeight="1" x14ac:dyDescent="0.3">
      <c r="A10" s="5" t="s">
        <v>719</v>
      </c>
      <c r="B10" s="54" t="s">
        <v>6</v>
      </c>
      <c r="C10" s="51" t="s">
        <v>720</v>
      </c>
      <c r="D10" s="52" t="s">
        <v>721</v>
      </c>
      <c r="E10" s="39" t="s">
        <v>722</v>
      </c>
      <c r="F10" s="6" t="s">
        <v>251</v>
      </c>
    </row>
    <row r="11" spans="1:6" ht="39.75" customHeight="1" x14ac:dyDescent="0.3">
      <c r="A11" s="5" t="s">
        <v>723</v>
      </c>
      <c r="B11" s="54" t="s">
        <v>6</v>
      </c>
      <c r="C11" s="51" t="s">
        <v>724</v>
      </c>
      <c r="D11" s="52" t="s">
        <v>725</v>
      </c>
      <c r="E11" s="39" t="s">
        <v>726</v>
      </c>
      <c r="F11" s="6" t="s">
        <v>251</v>
      </c>
    </row>
    <row r="12" spans="1:6" ht="39.75" customHeight="1" x14ac:dyDescent="0.3">
      <c r="A12" s="5" t="s">
        <v>727</v>
      </c>
      <c r="B12" s="55" t="s">
        <v>728</v>
      </c>
      <c r="C12" s="51" t="s">
        <v>729</v>
      </c>
      <c r="D12" s="52" t="s">
        <v>730</v>
      </c>
      <c r="E12" s="39" t="s">
        <v>731</v>
      </c>
      <c r="F12" s="6" t="s">
        <v>251</v>
      </c>
    </row>
    <row r="13" spans="1:6" ht="39.75" customHeight="1" x14ac:dyDescent="0.3">
      <c r="A13" s="5" t="s">
        <v>732</v>
      </c>
      <c r="B13" s="55" t="s">
        <v>728</v>
      </c>
      <c r="C13" s="51" t="s">
        <v>733</v>
      </c>
      <c r="D13" s="52" t="s">
        <v>734</v>
      </c>
      <c r="E13" s="39" t="s">
        <v>735</v>
      </c>
      <c r="F13" s="6" t="s">
        <v>261</v>
      </c>
    </row>
    <row r="14" spans="1:6" ht="39.75" customHeight="1" x14ac:dyDescent="0.3">
      <c r="A14" s="5" t="s">
        <v>736</v>
      </c>
      <c r="B14" s="55" t="s">
        <v>728</v>
      </c>
      <c r="C14" s="51" t="s">
        <v>737</v>
      </c>
      <c r="D14" s="52" t="s">
        <v>738</v>
      </c>
      <c r="E14" s="39" t="s">
        <v>739</v>
      </c>
      <c r="F14" s="6" t="s">
        <v>251</v>
      </c>
    </row>
    <row r="15" spans="1:6" ht="39.75" customHeight="1" x14ac:dyDescent="0.3">
      <c r="A15" s="5" t="s">
        <v>740</v>
      </c>
      <c r="B15" s="56" t="s">
        <v>10</v>
      </c>
      <c r="C15" s="51" t="s">
        <v>741</v>
      </c>
      <c r="D15" s="52" t="s">
        <v>742</v>
      </c>
      <c r="E15" s="39" t="s">
        <v>743</v>
      </c>
      <c r="F15" s="6" t="s">
        <v>251</v>
      </c>
    </row>
    <row r="16" spans="1:6" ht="39.75" customHeight="1" x14ac:dyDescent="0.3">
      <c r="A16" s="5" t="s">
        <v>744</v>
      </c>
      <c r="B16" s="56" t="s">
        <v>10</v>
      </c>
      <c r="C16" s="51" t="s">
        <v>745</v>
      </c>
      <c r="D16" s="52" t="s">
        <v>746</v>
      </c>
      <c r="E16" s="39" t="s">
        <v>747</v>
      </c>
      <c r="F16" s="6" t="s">
        <v>261</v>
      </c>
    </row>
    <row r="17" spans="1:6" ht="39.75" customHeight="1" x14ac:dyDescent="0.3">
      <c r="A17" s="5" t="s">
        <v>748</v>
      </c>
      <c r="B17" s="17" t="s">
        <v>749</v>
      </c>
      <c r="C17" s="51" t="s">
        <v>750</v>
      </c>
      <c r="D17" s="52" t="s">
        <v>751</v>
      </c>
      <c r="E17" s="39" t="s">
        <v>752</v>
      </c>
      <c r="F17" s="6" t="s">
        <v>251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G20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5" customWidth="1"/>
    <col min="2" max="2" width="22" customWidth="1"/>
    <col min="3" max="3" width="44" customWidth="1"/>
    <col min="4" max="4" width="28" customWidth="1"/>
    <col min="5" max="5" width="8" customWidth="1"/>
    <col min="6" max="6" width="44" customWidth="1"/>
    <col min="7" max="7" width="22" customWidth="1"/>
  </cols>
  <sheetData>
    <row r="1" spans="1:7" ht="15.75" customHeight="1" x14ac:dyDescent="0.3">
      <c r="A1" s="60" t="s">
        <v>753</v>
      </c>
      <c r="B1" s="60"/>
      <c r="C1" s="60"/>
      <c r="D1" s="60"/>
      <c r="E1" s="60"/>
      <c r="F1" s="60"/>
      <c r="G1" s="60"/>
    </row>
    <row r="2" spans="1:7" ht="21.75" customHeight="1" x14ac:dyDescent="0.3">
      <c r="A2" s="5" t="s">
        <v>231</v>
      </c>
      <c r="B2" s="5" t="s">
        <v>754</v>
      </c>
      <c r="C2" s="5" t="s">
        <v>755</v>
      </c>
      <c r="D2" s="5" t="s">
        <v>756</v>
      </c>
      <c r="E2" s="5" t="s">
        <v>757</v>
      </c>
      <c r="F2" s="5" t="s">
        <v>758</v>
      </c>
      <c r="G2" s="5" t="s">
        <v>759</v>
      </c>
    </row>
    <row r="3" spans="1:7" ht="37.5" customHeight="1" x14ac:dyDescent="0.3">
      <c r="A3" s="28" t="s">
        <v>760</v>
      </c>
      <c r="B3" s="28" t="s">
        <v>761</v>
      </c>
      <c r="C3" s="40" t="s">
        <v>762</v>
      </c>
      <c r="D3" s="28" t="s">
        <v>763</v>
      </c>
      <c r="E3" s="39" t="s">
        <v>764</v>
      </c>
      <c r="F3" s="57" t="s">
        <v>765</v>
      </c>
      <c r="G3" s="28" t="s">
        <v>766</v>
      </c>
    </row>
    <row r="4" spans="1:7" ht="37.5" customHeight="1" x14ac:dyDescent="0.3">
      <c r="A4" s="38" t="s">
        <v>767</v>
      </c>
      <c r="B4" s="38" t="s">
        <v>768</v>
      </c>
      <c r="C4" s="37" t="s">
        <v>769</v>
      </c>
      <c r="D4" s="38" t="s">
        <v>770</v>
      </c>
      <c r="E4" s="39" t="s">
        <v>771</v>
      </c>
      <c r="F4" s="57" t="s">
        <v>772</v>
      </c>
      <c r="G4" s="38" t="s">
        <v>773</v>
      </c>
    </row>
    <row r="5" spans="1:7" ht="37.5" customHeight="1" x14ac:dyDescent="0.3">
      <c r="A5" s="28" t="s">
        <v>774</v>
      </c>
      <c r="B5" s="28" t="s">
        <v>775</v>
      </c>
      <c r="C5" s="40" t="s">
        <v>776</v>
      </c>
      <c r="D5" s="28" t="s">
        <v>777</v>
      </c>
      <c r="E5" s="39" t="s">
        <v>778</v>
      </c>
      <c r="F5" s="57" t="s">
        <v>779</v>
      </c>
      <c r="G5" s="28" t="s">
        <v>780</v>
      </c>
    </row>
    <row r="6" spans="1:7" ht="37.5" customHeight="1" x14ac:dyDescent="0.3">
      <c r="A6" s="38" t="s">
        <v>781</v>
      </c>
      <c r="B6" s="38" t="s">
        <v>782</v>
      </c>
      <c r="C6" s="37" t="s">
        <v>783</v>
      </c>
      <c r="D6" s="38" t="s">
        <v>784</v>
      </c>
      <c r="E6" s="39" t="s">
        <v>785</v>
      </c>
      <c r="F6" s="57" t="s">
        <v>786</v>
      </c>
      <c r="G6" s="38" t="s">
        <v>787</v>
      </c>
    </row>
    <row r="7" spans="1:7" ht="37.5" customHeight="1" x14ac:dyDescent="0.3">
      <c r="A7" s="28" t="s">
        <v>788</v>
      </c>
      <c r="B7" s="28" t="s">
        <v>789</v>
      </c>
      <c r="C7" s="40" t="s">
        <v>790</v>
      </c>
      <c r="D7" s="28" t="s">
        <v>791</v>
      </c>
      <c r="E7" s="39" t="s">
        <v>792</v>
      </c>
      <c r="F7" s="57" t="s">
        <v>793</v>
      </c>
      <c r="G7" s="28" t="s">
        <v>794</v>
      </c>
    </row>
    <row r="8" spans="1:7" ht="37.5" customHeight="1" x14ac:dyDescent="0.3">
      <c r="A8" s="38" t="s">
        <v>795</v>
      </c>
      <c r="B8" s="38" t="s">
        <v>796</v>
      </c>
      <c r="C8" s="37" t="s">
        <v>797</v>
      </c>
      <c r="D8" s="38" t="s">
        <v>798</v>
      </c>
      <c r="E8" s="39" t="s">
        <v>799</v>
      </c>
      <c r="F8" s="57" t="s">
        <v>800</v>
      </c>
      <c r="G8" s="38" t="s">
        <v>801</v>
      </c>
    </row>
    <row r="9" spans="1:7" ht="37.5" customHeight="1" x14ac:dyDescent="0.3">
      <c r="A9" s="28" t="s">
        <v>802</v>
      </c>
      <c r="B9" s="28" t="s">
        <v>803</v>
      </c>
      <c r="C9" s="40" t="s">
        <v>804</v>
      </c>
      <c r="D9" s="28" t="s">
        <v>805</v>
      </c>
      <c r="E9" s="39" t="s">
        <v>806</v>
      </c>
      <c r="F9" s="57" t="s">
        <v>807</v>
      </c>
      <c r="G9" s="28" t="s">
        <v>808</v>
      </c>
    </row>
    <row r="10" spans="1:7" ht="37.5" customHeight="1" x14ac:dyDescent="0.3">
      <c r="A10" s="38" t="s">
        <v>809</v>
      </c>
      <c r="B10" s="38" t="s">
        <v>810</v>
      </c>
      <c r="C10" s="37" t="s">
        <v>811</v>
      </c>
      <c r="D10" s="38" t="s">
        <v>812</v>
      </c>
      <c r="E10" s="39" t="s">
        <v>66</v>
      </c>
      <c r="F10" s="57" t="s">
        <v>813</v>
      </c>
      <c r="G10" s="38" t="s">
        <v>814</v>
      </c>
    </row>
    <row r="11" spans="1:7" ht="37.5" customHeight="1" x14ac:dyDescent="0.3">
      <c r="A11" s="28" t="s">
        <v>815</v>
      </c>
      <c r="B11" s="28" t="s">
        <v>816</v>
      </c>
      <c r="C11" s="40" t="s">
        <v>817</v>
      </c>
      <c r="D11" s="28" t="s">
        <v>818</v>
      </c>
      <c r="E11" s="39" t="s">
        <v>819</v>
      </c>
      <c r="F11" s="57" t="s">
        <v>820</v>
      </c>
      <c r="G11" s="28" t="s">
        <v>821</v>
      </c>
    </row>
    <row r="12" spans="1:7" ht="37.5" customHeight="1" x14ac:dyDescent="0.3">
      <c r="A12" s="38" t="s">
        <v>822</v>
      </c>
      <c r="B12" s="38" t="s">
        <v>823</v>
      </c>
      <c r="C12" s="37" t="s">
        <v>824</v>
      </c>
      <c r="D12" s="38" t="s">
        <v>825</v>
      </c>
      <c r="E12" s="39" t="s">
        <v>66</v>
      </c>
      <c r="F12" s="57" t="s">
        <v>826</v>
      </c>
      <c r="G12" s="38" t="s">
        <v>827</v>
      </c>
    </row>
    <row r="13" spans="1:7" ht="15" customHeight="1" x14ac:dyDescent="0.3">
      <c r="A13" s="2"/>
      <c r="B13" s="2"/>
      <c r="C13" s="2"/>
      <c r="D13" s="2"/>
      <c r="E13" s="2"/>
      <c r="F13" s="2"/>
      <c r="G13" s="2"/>
    </row>
    <row r="14" spans="1:7" ht="15" customHeight="1" x14ac:dyDescent="0.3">
      <c r="A14" s="64" t="s">
        <v>828</v>
      </c>
      <c r="B14" s="64"/>
      <c r="C14" s="64"/>
      <c r="D14" s="64"/>
      <c r="E14" s="64"/>
      <c r="F14" s="64"/>
      <c r="G14" s="64"/>
    </row>
    <row r="15" spans="1:7" ht="21.75" customHeight="1" x14ac:dyDescent="0.3">
      <c r="A15" s="94" t="s">
        <v>829</v>
      </c>
      <c r="B15" s="94"/>
      <c r="C15" s="94"/>
      <c r="D15" s="94"/>
      <c r="E15" s="94"/>
      <c r="F15" s="94"/>
      <c r="G15" s="94"/>
    </row>
    <row r="16" spans="1:7" ht="21.75" customHeight="1" x14ac:dyDescent="0.3">
      <c r="A16" s="62" t="s">
        <v>830</v>
      </c>
      <c r="B16" s="62"/>
      <c r="C16" s="62"/>
      <c r="D16" s="62"/>
      <c r="E16" s="62"/>
      <c r="F16" s="62"/>
      <c r="G16" s="62"/>
    </row>
    <row r="17" spans="1:7" ht="21.75" customHeight="1" x14ac:dyDescent="0.3">
      <c r="A17" s="93" t="s">
        <v>831</v>
      </c>
      <c r="B17" s="93"/>
      <c r="C17" s="93"/>
      <c r="D17" s="93"/>
      <c r="E17" s="93"/>
      <c r="F17" s="93"/>
      <c r="G17" s="93"/>
    </row>
    <row r="18" spans="1:7" ht="21.75" customHeight="1" x14ac:dyDescent="0.3">
      <c r="A18" s="62" t="s">
        <v>832</v>
      </c>
      <c r="B18" s="62"/>
      <c r="C18" s="62"/>
      <c r="D18" s="62"/>
      <c r="E18" s="62"/>
      <c r="F18" s="62"/>
      <c r="G18" s="62"/>
    </row>
    <row r="19" spans="1:7" ht="21.75" customHeight="1" x14ac:dyDescent="0.3">
      <c r="A19" s="93" t="s">
        <v>833</v>
      </c>
      <c r="B19" s="93"/>
      <c r="C19" s="93"/>
      <c r="D19" s="93"/>
      <c r="E19" s="93"/>
      <c r="F19" s="93"/>
      <c r="G19" s="93"/>
    </row>
    <row r="20" spans="1:7" ht="21.75" customHeight="1" x14ac:dyDescent="0.3">
      <c r="A20" s="62" t="s">
        <v>834</v>
      </c>
      <c r="B20" s="62"/>
      <c r="C20" s="62"/>
      <c r="D20" s="62"/>
      <c r="E20" s="62"/>
      <c r="F20" s="62"/>
      <c r="G20" s="62"/>
    </row>
  </sheetData>
  <mergeCells count="8">
    <mergeCell ref="A18:G18"/>
    <mergeCell ref="A19:G19"/>
    <mergeCell ref="A20:G20"/>
    <mergeCell ref="A1:G1"/>
    <mergeCell ref="A14:G14"/>
    <mergeCell ref="A15:G15"/>
    <mergeCell ref="A16:G16"/>
    <mergeCell ref="A17:G17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Tổng Quan Dự Án</vt:lpstr>
      <vt:lpstr>2. Quy Trình Tổng Hợp</vt:lpstr>
      <vt:lpstr>3. Bố Trí Thí Nghiệm</vt:lpstr>
      <vt:lpstr>4. Hướng NC &amp; Công Bố</vt:lpstr>
      <vt:lpstr>5. Đặc Trưng &amp; Chỉ Tiêu</vt:lpstr>
      <vt:lpstr>6. Vật Tư &amp; Chi Phí</vt:lpstr>
      <vt:lpstr>7. Lời Khuyên &amp; Cảnh Báo</vt:lpstr>
      <vt:lpstr>8. Tài Liệu Tham Khảo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Hoàng Nhật</cp:lastModifiedBy>
  <cp:revision>0</cp:revision>
  <cp:lastPrinted>2026-03-04T06:58:22Z</cp:lastPrinted>
  <dcterms:created xsi:type="dcterms:W3CDTF">2026-03-04T04:01:40Z</dcterms:created>
  <dcterms:modified xsi:type="dcterms:W3CDTF">2026-03-04T07:03:51Z</dcterms:modified>
  <dc:language>en-US</dc:language>
</cp:coreProperties>
</file>